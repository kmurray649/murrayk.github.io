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FA5E957B-1011-4DF0-A629-F16115265946}" xr6:coauthVersionLast="47" xr6:coauthVersionMax="47" xr10:uidLastSave="{00000000-0000-0000-0000-000000000000}"/>
  <bookViews>
    <workbookView xWindow="-108" yWindow="-108" windowWidth="23256" windowHeight="12456" firstSheet="1" activeTab="4" xr2:uid="{8A842B3B-93ED-4F8E-A9A6-901E89F2D4E2}"/>
  </bookViews>
  <sheets>
    <sheet name="GameTracker" sheetId="2" r:id="rId1"/>
    <sheet name="GameStats" sheetId="4" r:id="rId2"/>
    <sheet name="All Players" sheetId="7" r:id="rId3"/>
    <sheet name="PlayerStats" sheetId="3" r:id="rId4"/>
    <sheet name="Elo model" sheetId="6" r:id="rId5"/>
  </sheets>
  <definedNames>
    <definedName name="_xlnm._FilterDatabase" localSheetId="1" hidden="1">GameStats!$A$1:$I$2636</definedName>
    <definedName name="_xlnm._FilterDatabase" localSheetId="3" hidden="1">PlayerStats!$A$1:$Q$326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1" i="4" l="1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226" i="4"/>
  <c r="H227" i="4"/>
  <c r="H230" i="4"/>
  <c r="H229" i="4"/>
  <c r="H228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1" i="2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499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D13" i="2" a="1"/>
  <c r="D13" i="2"/>
  <c r="E13" i="2" a="1"/>
  <c r="E13" i="2"/>
  <c r="F13" i="2"/>
  <c r="D14" i="2" a="1"/>
  <c r="D14" i="2"/>
  <c r="E14" i="2" a="1"/>
  <c r="E14" i="2"/>
  <c r="F14" i="2"/>
  <c r="D15" i="2" a="1"/>
  <c r="D15" i="2"/>
  <c r="E15" i="2" a="1"/>
  <c r="E15" i="2"/>
  <c r="F15" i="2"/>
  <c r="D16" i="2" a="1"/>
  <c r="D16" i="2" s="1"/>
  <c r="E16" i="2" a="1"/>
  <c r="E16" i="2" s="1"/>
  <c r="F16" i="2"/>
  <c r="D17" i="2" a="1"/>
  <c r="D17" i="2" s="1"/>
  <c r="E17" i="2" a="1"/>
  <c r="E17" i="2" s="1"/>
  <c r="F17" i="2"/>
  <c r="D18" i="2" a="1"/>
  <c r="D18" i="2" s="1"/>
  <c r="E18" i="2" a="1"/>
  <c r="E18" i="2" s="1"/>
  <c r="F18" i="2"/>
  <c r="D19" i="2" a="1"/>
  <c r="D19" i="2" s="1"/>
  <c r="E19" i="2" a="1"/>
  <c r="E19" i="2" s="1"/>
  <c r="F19" i="2"/>
  <c r="D20" i="2" a="1"/>
  <c r="D20" i="2" s="1"/>
  <c r="E20" i="2" a="1"/>
  <c r="E20" i="2" s="1"/>
  <c r="F20" i="2"/>
  <c r="D21" i="2" a="1"/>
  <c r="D21" i="2" s="1"/>
  <c r="E21" i="2" a="1"/>
  <c r="E21" i="2" s="1"/>
  <c r="F21" i="2"/>
  <c r="D22" i="2" a="1"/>
  <c r="D22" i="2" s="1"/>
  <c r="E22" i="2" a="1"/>
  <c r="E22" i="2" s="1"/>
  <c r="F22" i="2"/>
  <c r="D23" i="2" a="1"/>
  <c r="D23" i="2" s="1"/>
  <c r="E23" i="2" a="1"/>
  <c r="E23" i="2" s="1"/>
  <c r="F23" i="2"/>
  <c r="D24" i="2" a="1"/>
  <c r="D24" i="2" s="1"/>
  <c r="E24" i="2" a="1"/>
  <c r="E24" i="2" s="1"/>
  <c r="F24" i="2"/>
  <c r="D25" i="2" a="1"/>
  <c r="D25" i="2" s="1"/>
  <c r="E25" i="2" a="1"/>
  <c r="E25" i="2" s="1"/>
  <c r="F25" i="2"/>
  <c r="D26" i="2" a="1"/>
  <c r="D26" i="2" s="1"/>
  <c r="E26" i="2" a="1"/>
  <c r="E26" i="2" s="1"/>
  <c r="F26" i="2"/>
  <c r="D27" i="2" a="1"/>
  <c r="D27" i="2" s="1"/>
  <c r="E27" i="2" a="1"/>
  <c r="E27" i="2" s="1"/>
  <c r="F27" i="2"/>
  <c r="D28" i="2" a="1"/>
  <c r="D28" i="2" s="1"/>
  <c r="E28" i="2" a="1"/>
  <c r="E28" i="2" s="1"/>
  <c r="F28" i="2"/>
  <c r="D29" i="2" a="1"/>
  <c r="D29" i="2" s="1"/>
  <c r="E29" i="2" a="1"/>
  <c r="E29" i="2" s="1"/>
  <c r="F29" i="2"/>
  <c r="D30" i="2" a="1"/>
  <c r="D30" i="2" s="1"/>
  <c r="E30" i="2" a="1"/>
  <c r="E30" i="2" s="1"/>
  <c r="F30" i="2"/>
  <c r="D31" i="2" a="1"/>
  <c r="D31" i="2" s="1"/>
  <c r="E31" i="2" a="1"/>
  <c r="E31" i="2" s="1"/>
  <c r="F31" i="2"/>
  <c r="D32" i="2" a="1"/>
  <c r="D32" i="2" s="1"/>
  <c r="E32" i="2" a="1"/>
  <c r="E32" i="2" s="1"/>
  <c r="F32" i="2"/>
  <c r="D33" i="2" a="1"/>
  <c r="D33" i="2" s="1"/>
  <c r="E33" i="2" a="1"/>
  <c r="E33" i="2" s="1"/>
  <c r="F33" i="2"/>
  <c r="D34" i="2" a="1"/>
  <c r="D34" i="2" s="1"/>
  <c r="E34" i="2" a="1"/>
  <c r="E34" i="2" s="1"/>
  <c r="F34" i="2"/>
  <c r="D35" i="2" a="1"/>
  <c r="D35" i="2" s="1"/>
  <c r="E35" i="2" a="1"/>
  <c r="E35" i="2" s="1"/>
  <c r="F35" i="2"/>
  <c r="D36" i="2" a="1"/>
  <c r="D36" i="2" s="1"/>
  <c r="E36" i="2" a="1"/>
  <c r="E36" i="2" s="1"/>
  <c r="F36" i="2"/>
  <c r="D37" i="2" a="1"/>
  <c r="D37" i="2" s="1"/>
  <c r="E37" i="2" a="1"/>
  <c r="E37" i="2" s="1"/>
  <c r="F37" i="2"/>
  <c r="D38" i="2" a="1"/>
  <c r="D38" i="2" s="1"/>
  <c r="E38" i="2" a="1"/>
  <c r="E38" i="2" s="1"/>
  <c r="F38" i="2"/>
  <c r="D39" i="2" a="1"/>
  <c r="D39" i="2" s="1"/>
  <c r="E39" i="2" a="1"/>
  <c r="E39" i="2" s="1"/>
  <c r="F39" i="2"/>
  <c r="D40" i="2" a="1"/>
  <c r="D40" i="2" s="1"/>
  <c r="E40" i="2" a="1"/>
  <c r="E40" i="2" s="1"/>
  <c r="F40" i="2"/>
  <c r="D41" i="2" a="1"/>
  <c r="D41" i="2" s="1"/>
  <c r="E41" i="2" a="1"/>
  <c r="E41" i="2" s="1"/>
  <c r="F41" i="2"/>
  <c r="D42" i="2" a="1"/>
  <c r="D42" i="2" s="1"/>
  <c r="E42" i="2" a="1"/>
  <c r="E42" i="2" s="1"/>
  <c r="F42" i="2"/>
  <c r="D43" i="2" a="1"/>
  <c r="D43" i="2" s="1"/>
  <c r="E43" i="2" a="1"/>
  <c r="E43" i="2" s="1"/>
  <c r="F43" i="2"/>
  <c r="D44" i="2" a="1"/>
  <c r="D44" i="2" s="1"/>
  <c r="E44" i="2" a="1"/>
  <c r="E44" i="2" s="1"/>
  <c r="F44" i="2"/>
  <c r="D45" i="2" a="1"/>
  <c r="D45" i="2" s="1"/>
  <c r="E45" i="2" a="1"/>
  <c r="E45" i="2" s="1"/>
  <c r="F45" i="2"/>
  <c r="D46" i="2" a="1"/>
  <c r="D46" i="2" s="1"/>
  <c r="E46" i="2" a="1"/>
  <c r="E46" i="2" s="1"/>
  <c r="F46" i="2"/>
  <c r="D47" i="2" a="1"/>
  <c r="D47" i="2" s="1"/>
  <c r="E47" i="2" a="1"/>
  <c r="E47" i="2" s="1"/>
  <c r="F47" i="2"/>
  <c r="D48" i="2" a="1"/>
  <c r="D48" i="2" s="1"/>
  <c r="E48" i="2" a="1"/>
  <c r="E48" i="2" s="1"/>
  <c r="F48" i="2"/>
  <c r="D49" i="2" a="1"/>
  <c r="D49" i="2" s="1"/>
  <c r="E49" i="2" a="1"/>
  <c r="E49" i="2" s="1"/>
  <c r="F49" i="2"/>
  <c r="D50" i="2" a="1"/>
  <c r="D50" i="2" s="1"/>
  <c r="E50" i="2" a="1"/>
  <c r="E50" i="2" s="1"/>
  <c r="F50" i="2"/>
  <c r="D51" i="2" a="1"/>
  <c r="D51" i="2" s="1"/>
  <c r="E51" i="2" a="1"/>
  <c r="E51" i="2" s="1"/>
  <c r="F51" i="2"/>
  <c r="D52" i="2" a="1"/>
  <c r="D52" i="2" s="1"/>
  <c r="E52" i="2" a="1"/>
  <c r="E52" i="2" s="1"/>
  <c r="F52" i="2"/>
  <c r="D53" i="2" a="1"/>
  <c r="D53" i="2" s="1"/>
  <c r="E53" i="2" a="1"/>
  <c r="E53" i="2" s="1"/>
  <c r="F53" i="2"/>
  <c r="D54" i="2" a="1"/>
  <c r="D54" i="2" s="1"/>
  <c r="E54" i="2" a="1"/>
  <c r="E54" i="2" s="1"/>
  <c r="F54" i="2"/>
  <c r="D55" i="2" a="1"/>
  <c r="D55" i="2" s="1"/>
  <c r="E55" i="2" a="1"/>
  <c r="E55" i="2" s="1"/>
  <c r="F55" i="2"/>
  <c r="D56" i="2" a="1"/>
  <c r="D56" i="2" s="1"/>
  <c r="E56" i="2" a="1"/>
  <c r="E56" i="2" s="1"/>
  <c r="F56" i="2"/>
  <c r="D57" i="2" a="1"/>
  <c r="D57" i="2" s="1"/>
  <c r="E57" i="2" a="1"/>
  <c r="E57" i="2" s="1"/>
  <c r="F57" i="2"/>
  <c r="D58" i="2" a="1"/>
  <c r="D58" i="2" s="1"/>
  <c r="E58" i="2" a="1"/>
  <c r="E58" i="2" s="1"/>
  <c r="F58" i="2"/>
  <c r="D59" i="2" a="1"/>
  <c r="D59" i="2" s="1"/>
  <c r="E59" i="2" a="1"/>
  <c r="E59" i="2" s="1"/>
  <c r="F59" i="2"/>
  <c r="D60" i="2" a="1"/>
  <c r="D60" i="2" s="1"/>
  <c r="E60" i="2" a="1"/>
  <c r="E60" i="2" s="1"/>
  <c r="F60" i="2"/>
  <c r="D61" i="2" a="1"/>
  <c r="D61" i="2" s="1"/>
  <c r="E61" i="2" a="1"/>
  <c r="E61" i="2" s="1"/>
  <c r="F61" i="2"/>
  <c r="D62" i="2" a="1"/>
  <c r="D62" i="2" s="1"/>
  <c r="E62" i="2" a="1"/>
  <c r="E62" i="2" s="1"/>
  <c r="F62" i="2"/>
  <c r="D63" i="2" a="1"/>
  <c r="D63" i="2" s="1"/>
  <c r="E63" i="2" a="1"/>
  <c r="E63" i="2" s="1"/>
  <c r="F63" i="2"/>
  <c r="D64" i="2" a="1"/>
  <c r="D64" i="2" s="1"/>
  <c r="E64" i="2" a="1"/>
  <c r="E64" i="2" s="1"/>
  <c r="F64" i="2"/>
  <c r="D65" i="2" a="1"/>
  <c r="D65" i="2" s="1"/>
  <c r="E65" i="2" a="1"/>
  <c r="E65" i="2" s="1"/>
  <c r="F65" i="2"/>
  <c r="D66" i="2" a="1"/>
  <c r="D66" i="2" s="1"/>
  <c r="E66" i="2" a="1"/>
  <c r="E66" i="2" s="1"/>
  <c r="F66" i="2"/>
  <c r="D67" i="2" a="1"/>
  <c r="D67" i="2" s="1"/>
  <c r="E67" i="2" a="1"/>
  <c r="E67" i="2" s="1"/>
  <c r="F67" i="2"/>
  <c r="D68" i="2" a="1"/>
  <c r="D68" i="2" s="1"/>
  <c r="E68" i="2" a="1"/>
  <c r="E68" i="2" s="1"/>
  <c r="F68" i="2"/>
  <c r="D69" i="2" a="1"/>
  <c r="D69" i="2" s="1"/>
  <c r="E69" i="2" a="1"/>
  <c r="E69" i="2" s="1"/>
  <c r="F69" i="2"/>
  <c r="D70" i="2" a="1"/>
  <c r="D70" i="2" s="1"/>
  <c r="E70" i="2" a="1"/>
  <c r="E70" i="2" s="1"/>
  <c r="F70" i="2"/>
  <c r="D71" i="2" a="1"/>
  <c r="D71" i="2" s="1"/>
  <c r="E71" i="2" a="1"/>
  <c r="E71" i="2" s="1"/>
  <c r="F71" i="2"/>
  <c r="D72" i="2" a="1"/>
  <c r="D72" i="2" s="1"/>
  <c r="E72" i="2" a="1"/>
  <c r="E72" i="2" s="1"/>
  <c r="F72" i="2"/>
  <c r="D73" i="2" a="1"/>
  <c r="D73" i="2" s="1"/>
  <c r="E73" i="2" a="1"/>
  <c r="E73" i="2" s="1"/>
  <c r="F73" i="2"/>
  <c r="F74" i="2"/>
  <c r="E74" i="2" a="1"/>
  <c r="E74" i="2" s="1"/>
  <c r="D74" i="2" a="1"/>
  <c r="D74" i="2" s="1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I16" i="6"/>
  <c r="D75" i="2" a="1"/>
  <c r="D75" i="2" s="1"/>
  <c r="E75" i="2" a="1"/>
  <c r="E75" i="2" s="1"/>
  <c r="F75" i="2"/>
  <c r="D76" i="2" a="1"/>
  <c r="D76" i="2" s="1"/>
  <c r="E76" i="2" a="1"/>
  <c r="E76" i="2" s="1"/>
  <c r="F76" i="2"/>
  <c r="H635" i="4"/>
  <c r="H634" i="4"/>
  <c r="H633" i="4"/>
  <c r="H632" i="4"/>
  <c r="H631" i="4"/>
  <c r="H630" i="4"/>
  <c r="H629" i="4"/>
  <c r="H628" i="4"/>
  <c r="H627" i="4"/>
  <c r="H626" i="4"/>
  <c r="E12" i="2" a="1"/>
  <c r="E12" i="2" s="1"/>
  <c r="D12" i="2" a="1"/>
  <c r="D12" i="2" s="1"/>
  <c r="E11" i="2" a="1"/>
  <c r="E11" i="2" s="1"/>
  <c r="D11" i="2" a="1"/>
  <c r="D11" i="2" s="1"/>
  <c r="E10" i="2" a="1"/>
  <c r="E10" i="2" s="1"/>
  <c r="D10" i="2" a="1"/>
  <c r="D10" i="2" s="1"/>
  <c r="E9" i="2" a="1"/>
  <c r="E9" i="2" s="1"/>
  <c r="D9" i="2" a="1"/>
  <c r="D9" i="2" s="1"/>
  <c r="F9" i="2"/>
  <c r="F10" i="2"/>
  <c r="F11" i="2"/>
  <c r="F12" i="2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8" i="4"/>
  <c r="H219" i="4"/>
  <c r="H220" i="4"/>
  <c r="H221" i="4"/>
  <c r="H217" i="4"/>
  <c r="H222" i="4"/>
  <c r="H223" i="4"/>
  <c r="H224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225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D8" i="2" a="1"/>
  <c r="D8" i="2" s="1"/>
  <c r="D7" i="2" a="1"/>
  <c r="D7" i="2" s="1"/>
  <c r="E8" i="2" a="1"/>
  <c r="E8" i="2" s="1"/>
  <c r="E7" i="2" a="1"/>
  <c r="E7" i="2" s="1"/>
  <c r="F7" i="2"/>
  <c r="F8" i="2"/>
  <c r="H102" i="4"/>
  <c r="H101" i="4"/>
  <c r="H100" i="4"/>
  <c r="H99" i="4"/>
  <c r="H98" i="4"/>
  <c r="H97" i="4"/>
  <c r="H96" i="4"/>
  <c r="H95" i="4"/>
  <c r="H94" i="4"/>
  <c r="H93" i="4"/>
  <c r="H92" i="4"/>
  <c r="H91" i="4"/>
  <c r="H134" i="4"/>
  <c r="H135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03" i="4"/>
  <c r="H104" i="4"/>
  <c r="H105" i="4"/>
  <c r="H106" i="4"/>
  <c r="H107" i="4"/>
  <c r="H108" i="4"/>
  <c r="H109" i="4"/>
  <c r="H110" i="4"/>
  <c r="H111" i="4"/>
  <c r="H112" i="4"/>
  <c r="H113" i="4"/>
  <c r="K57" i="6"/>
  <c r="K56" i="6"/>
  <c r="K55" i="6"/>
  <c r="K54" i="6"/>
  <c r="Q47" i="6"/>
  <c r="P47" i="6"/>
  <c r="O47" i="6"/>
  <c r="N47" i="6"/>
  <c r="M47" i="6"/>
  <c r="K47" i="6"/>
  <c r="F47" i="6"/>
  <c r="D47" i="6"/>
  <c r="P46" i="6"/>
  <c r="M46" i="6"/>
  <c r="K46" i="6"/>
  <c r="N46" i="6" s="1"/>
  <c r="F46" i="6"/>
  <c r="O46" i="6" s="1"/>
  <c r="D46" i="6"/>
  <c r="Q45" i="6"/>
  <c r="P45" i="6"/>
  <c r="O45" i="6"/>
  <c r="N45" i="6"/>
  <c r="M45" i="6"/>
  <c r="K45" i="6"/>
  <c r="F45" i="6"/>
  <c r="D45" i="6"/>
  <c r="P44" i="6"/>
  <c r="M44" i="6"/>
  <c r="K44" i="6"/>
  <c r="N44" i="6" s="1"/>
  <c r="F44" i="6"/>
  <c r="O44" i="6" s="1"/>
  <c r="D44" i="6"/>
  <c r="O43" i="6"/>
  <c r="N43" i="6"/>
  <c r="M43" i="6"/>
  <c r="K43" i="6"/>
  <c r="H43" i="6"/>
  <c r="F43" i="6"/>
  <c r="D43" i="6"/>
  <c r="P43" i="6" s="1"/>
  <c r="Q43" i="6" s="1"/>
  <c r="M42" i="6"/>
  <c r="K42" i="6"/>
  <c r="N42" i="6" s="1"/>
  <c r="H42" i="6"/>
  <c r="F42" i="6"/>
  <c r="O42" i="6" s="1"/>
  <c r="D42" i="6"/>
  <c r="P42" i="6" s="1"/>
  <c r="P41" i="6"/>
  <c r="K41" i="6"/>
  <c r="N41" i="6" s="1"/>
  <c r="H41" i="6"/>
  <c r="M41" i="6" s="1"/>
  <c r="Q41" i="6" s="1"/>
  <c r="F41" i="6"/>
  <c r="O41" i="6" s="1"/>
  <c r="D41" i="6"/>
  <c r="K40" i="6"/>
  <c r="N40" i="6" s="1"/>
  <c r="H40" i="6"/>
  <c r="M40" i="6" s="1"/>
  <c r="F40" i="6"/>
  <c r="O40" i="6" s="1"/>
  <c r="D40" i="6"/>
  <c r="P40" i="6" s="1"/>
  <c r="P39" i="6"/>
  <c r="M39" i="6"/>
  <c r="K39" i="6"/>
  <c r="N39" i="6" s="1"/>
  <c r="H39" i="6"/>
  <c r="F39" i="6"/>
  <c r="O39" i="6" s="1"/>
  <c r="D39" i="6"/>
  <c r="P38" i="6"/>
  <c r="N38" i="6"/>
  <c r="M38" i="6"/>
  <c r="K38" i="6"/>
  <c r="H38" i="6"/>
  <c r="F38" i="6"/>
  <c r="O38" i="6" s="1"/>
  <c r="D38" i="6"/>
  <c r="O37" i="6"/>
  <c r="M37" i="6"/>
  <c r="K37" i="6"/>
  <c r="N37" i="6" s="1"/>
  <c r="H37" i="6"/>
  <c r="F37" i="6"/>
  <c r="D37" i="6"/>
  <c r="P37" i="6" s="1"/>
  <c r="P36" i="6"/>
  <c r="M36" i="6"/>
  <c r="K36" i="6"/>
  <c r="N36" i="6" s="1"/>
  <c r="H36" i="6"/>
  <c r="F36" i="6"/>
  <c r="O36" i="6" s="1"/>
  <c r="D36" i="6"/>
  <c r="K35" i="6"/>
  <c r="N35" i="6" s="1"/>
  <c r="H35" i="6"/>
  <c r="M35" i="6" s="1"/>
  <c r="Q35" i="6" s="1"/>
  <c r="F35" i="6"/>
  <c r="O35" i="6" s="1"/>
  <c r="D35" i="6"/>
  <c r="P35" i="6" s="1"/>
  <c r="P34" i="6"/>
  <c r="M34" i="6"/>
  <c r="K34" i="6"/>
  <c r="N34" i="6" s="1"/>
  <c r="H34" i="6"/>
  <c r="F34" i="6"/>
  <c r="O34" i="6" s="1"/>
  <c r="D34" i="6"/>
  <c r="N33" i="6"/>
  <c r="K33" i="6"/>
  <c r="H33" i="6"/>
  <c r="M33" i="6" s="1"/>
  <c r="F33" i="6"/>
  <c r="O33" i="6" s="1"/>
  <c r="D33" i="6"/>
  <c r="P33" i="6" s="1"/>
  <c r="P32" i="6"/>
  <c r="N32" i="6"/>
  <c r="K32" i="6"/>
  <c r="H32" i="6"/>
  <c r="M32" i="6" s="1"/>
  <c r="Q32" i="6" s="1"/>
  <c r="F32" i="6"/>
  <c r="O32" i="6" s="1"/>
  <c r="D32" i="6"/>
  <c r="N31" i="6"/>
  <c r="M31" i="6"/>
  <c r="K31" i="6"/>
  <c r="H31" i="6"/>
  <c r="F31" i="6"/>
  <c r="O31" i="6" s="1"/>
  <c r="D31" i="6"/>
  <c r="P31" i="6" s="1"/>
  <c r="P30" i="6"/>
  <c r="N30" i="6"/>
  <c r="K30" i="6"/>
  <c r="H30" i="6"/>
  <c r="M30" i="6" s="1"/>
  <c r="Q30" i="6" s="1"/>
  <c r="F30" i="6"/>
  <c r="O30" i="6" s="1"/>
  <c r="D30" i="6"/>
  <c r="O29" i="6"/>
  <c r="N29" i="6"/>
  <c r="M29" i="6"/>
  <c r="Q29" i="6" s="1"/>
  <c r="K29" i="6"/>
  <c r="H29" i="6"/>
  <c r="F29" i="6"/>
  <c r="D29" i="6"/>
  <c r="P29" i="6" s="1"/>
  <c r="U28" i="6"/>
  <c r="M28" i="6"/>
  <c r="K28" i="6"/>
  <c r="N28" i="6" s="1"/>
  <c r="H28" i="6"/>
  <c r="F28" i="6"/>
  <c r="O28" i="6" s="1"/>
  <c r="D28" i="6"/>
  <c r="P28" i="6" s="1"/>
  <c r="P27" i="6"/>
  <c r="M27" i="6"/>
  <c r="K27" i="6"/>
  <c r="N27" i="6" s="1"/>
  <c r="H27" i="6"/>
  <c r="F27" i="6"/>
  <c r="O27" i="6" s="1"/>
  <c r="D27" i="6"/>
  <c r="O26" i="6"/>
  <c r="N26" i="6"/>
  <c r="K26" i="6"/>
  <c r="H26" i="6"/>
  <c r="M26" i="6" s="1"/>
  <c r="F26" i="6"/>
  <c r="D26" i="6"/>
  <c r="P26" i="6" s="1"/>
  <c r="P25" i="6"/>
  <c r="O25" i="6"/>
  <c r="N25" i="6"/>
  <c r="K25" i="6"/>
  <c r="H25" i="6"/>
  <c r="M25" i="6" s="1"/>
  <c r="Q25" i="6" s="1"/>
  <c r="F25" i="6"/>
  <c r="D25" i="6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A1" i="7" a="1"/>
  <c r="A282" i="3" s="1"/>
  <c r="I14" i="6"/>
  <c r="E88" i="2" a="1"/>
  <c r="E88" i="2" s="1"/>
  <c r="D88" i="2" a="1"/>
  <c r="D88" i="2" s="1"/>
  <c r="E87" i="2" a="1"/>
  <c r="E87" i="2" s="1"/>
  <c r="D87" i="2" a="1"/>
  <c r="D87" i="2" s="1"/>
  <c r="E86" i="2" a="1"/>
  <c r="E86" i="2" s="1"/>
  <c r="D86" i="2" a="1"/>
  <c r="D86" i="2" s="1"/>
  <c r="E85" i="2" a="1"/>
  <c r="E85" i="2" s="1"/>
  <c r="D85" i="2" a="1"/>
  <c r="D85" i="2" s="1"/>
  <c r="E84" i="2" a="1"/>
  <c r="E84" i="2" s="1"/>
  <c r="D84" i="2" a="1"/>
  <c r="D84" i="2" s="1"/>
  <c r="E83" i="2" a="1"/>
  <c r="E83" i="2" s="1"/>
  <c r="D83" i="2" a="1"/>
  <c r="D83" i="2" s="1"/>
  <c r="E82" i="2" a="1"/>
  <c r="E82" i="2" s="1"/>
  <c r="D82" i="2" a="1"/>
  <c r="D82" i="2" s="1"/>
  <c r="E81" i="2" a="1"/>
  <c r="E81" i="2" s="1"/>
  <c r="D81" i="2" a="1"/>
  <c r="D81" i="2" s="1"/>
  <c r="E80" i="2" a="1"/>
  <c r="E80" i="2" s="1"/>
  <c r="D80" i="2" a="1"/>
  <c r="D80" i="2" s="1"/>
  <c r="E79" i="2" a="1"/>
  <c r="E79" i="2" s="1"/>
  <c r="D79" i="2" a="1"/>
  <c r="D79" i="2" s="1"/>
  <c r="E78" i="2" a="1"/>
  <c r="E78" i="2" s="1"/>
  <c r="D78" i="2" a="1"/>
  <c r="D78" i="2" s="1"/>
  <c r="E77" i="2" a="1"/>
  <c r="E77" i="2" s="1"/>
  <c r="D77" i="2" a="1"/>
  <c r="D77" i="2" s="1"/>
  <c r="F77" i="2"/>
  <c r="F78" i="2"/>
  <c r="F79" i="2"/>
  <c r="F80" i="2"/>
  <c r="F81" i="2"/>
  <c r="F82" i="2"/>
  <c r="F83" i="2"/>
  <c r="F84" i="2"/>
  <c r="F85" i="2"/>
  <c r="F86" i="2"/>
  <c r="F87" i="2"/>
  <c r="F88" i="2"/>
  <c r="H672" i="4"/>
  <c r="H679" i="4"/>
  <c r="H678" i="4"/>
  <c r="H677" i="4"/>
  <c r="H676" i="4"/>
  <c r="H675" i="4"/>
  <c r="H674" i="4"/>
  <c r="H673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E6" i="2" a="1"/>
  <c r="E6" i="2" s="1"/>
  <c r="E5" i="2" a="1"/>
  <c r="E5" i="2" s="1"/>
  <c r="E4" i="2" a="1"/>
  <c r="E4" i="2" s="1"/>
  <c r="E3" i="2" a="1"/>
  <c r="E3" i="2" s="1"/>
  <c r="D6" i="2" a="1"/>
  <c r="D6" i="2" s="1"/>
  <c r="D5" i="2" a="1"/>
  <c r="D5" i="2" s="1"/>
  <c r="D4" i="2" a="1"/>
  <c r="D4" i="2" s="1"/>
  <c r="D3" i="2" a="1"/>
  <c r="D3" i="2" s="1"/>
  <c r="E2" i="2" a="1"/>
  <c r="E2" i="2" s="1"/>
  <c r="D2" i="2" a="1"/>
  <c r="D2" i="2" s="1"/>
  <c r="F3" i="2"/>
  <c r="F4" i="2"/>
  <c r="F5" i="2"/>
  <c r="F6" i="2"/>
  <c r="F2" i="2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46" i="4"/>
  <c r="H69" i="4"/>
  <c r="H68" i="4"/>
  <c r="H67" i="4"/>
  <c r="H66" i="4"/>
  <c r="H65" i="4"/>
  <c r="H59" i="4"/>
  <c r="H60" i="4"/>
  <c r="H61" i="4"/>
  <c r="H62" i="4"/>
  <c r="H63" i="4"/>
  <c r="H64" i="4"/>
  <c r="H58" i="4"/>
  <c r="H57" i="4"/>
  <c r="H56" i="4"/>
  <c r="H55" i="4"/>
  <c r="H54" i="4"/>
  <c r="H53" i="4"/>
  <c r="H51" i="4"/>
  <c r="H52" i="4"/>
  <c r="H50" i="4"/>
  <c r="H49" i="4"/>
  <c r="H48" i="4"/>
  <c r="H47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17" i="4"/>
  <c r="H16" i="4"/>
  <c r="H15" i="4"/>
  <c r="H18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22" i="4"/>
  <c r="H21" i="4"/>
  <c r="H20" i="4"/>
  <c r="H19" i="4"/>
  <c r="H23" i="4"/>
  <c r="B282" i="3" l="1"/>
  <c r="C282" i="3"/>
  <c r="E282" i="3" s="1"/>
  <c r="G282" i="3"/>
  <c r="H282" i="3"/>
  <c r="I282" i="3"/>
  <c r="K282" i="3" s="1"/>
  <c r="N282" i="3"/>
  <c r="O282" i="3"/>
  <c r="P282" i="3" s="1"/>
  <c r="A118" i="3"/>
  <c r="B118" i="3" s="1"/>
  <c r="A263" i="3"/>
  <c r="A249" i="3"/>
  <c r="G249" i="3" s="1"/>
  <c r="A262" i="3"/>
  <c r="A281" i="3"/>
  <c r="A131" i="3"/>
  <c r="A232" i="3"/>
  <c r="A159" i="3"/>
  <c r="A196" i="3"/>
  <c r="A209" i="3"/>
  <c r="A223" i="3"/>
  <c r="A231" i="3"/>
  <c r="I231" i="3" s="1"/>
  <c r="A248" i="3"/>
  <c r="G248" i="3" s="1"/>
  <c r="A142" i="3"/>
  <c r="B142" i="3" s="1"/>
  <c r="A222" i="3"/>
  <c r="A261" i="3"/>
  <c r="B261" i="3" s="1"/>
  <c r="A280" i="3"/>
  <c r="C280" i="3" s="1"/>
  <c r="A221" i="3"/>
  <c r="B221" i="3" s="1"/>
  <c r="A247" i="3"/>
  <c r="A152" i="3"/>
  <c r="B152" i="3" s="1"/>
  <c r="A195" i="3"/>
  <c r="A279" i="3"/>
  <c r="H279" i="3" s="1"/>
  <c r="A293" i="3"/>
  <c r="A246" i="3"/>
  <c r="C246" i="3" s="1"/>
  <c r="E246" i="3" s="1"/>
  <c r="A260" i="3"/>
  <c r="A151" i="3"/>
  <c r="B246" i="3"/>
  <c r="A87" i="3"/>
  <c r="C87" i="3" s="1"/>
  <c r="A188" i="3"/>
  <c r="N188" i="3" s="1"/>
  <c r="A208" i="3"/>
  <c r="C208" i="3" s="1"/>
  <c r="E208" i="3" s="1"/>
  <c r="A137" i="3"/>
  <c r="B137" i="3" s="1"/>
  <c r="A41" i="3"/>
  <c r="B41" i="3" s="1"/>
  <c r="A187" i="3"/>
  <c r="B187" i="3" s="1"/>
  <c r="A107" i="3"/>
  <c r="B107" i="3" s="1"/>
  <c r="A230" i="3"/>
  <c r="A78" i="3"/>
  <c r="G78" i="3" s="1"/>
  <c r="A278" i="3"/>
  <c r="A130" i="3"/>
  <c r="B130" i="3" s="1"/>
  <c r="A101" i="3"/>
  <c r="A114" i="3"/>
  <c r="G114" i="3" s="1"/>
  <c r="A92" i="3"/>
  <c r="A135" i="3"/>
  <c r="B135" i="3" s="1"/>
  <c r="A174" i="3"/>
  <c r="A186" i="3"/>
  <c r="A207" i="3"/>
  <c r="A56" i="3"/>
  <c r="A229" i="3"/>
  <c r="A30" i="3"/>
  <c r="A115" i="3"/>
  <c r="A90" i="3"/>
  <c r="A136" i="3"/>
  <c r="A169" i="3"/>
  <c r="A194" i="3"/>
  <c r="A258" i="3"/>
  <c r="A292" i="3"/>
  <c r="A146" i="3"/>
  <c r="A158" i="3"/>
  <c r="A185" i="3"/>
  <c r="A245" i="3"/>
  <c r="A259" i="3"/>
  <c r="A93" i="3"/>
  <c r="A72" i="3"/>
  <c r="A157" i="3"/>
  <c r="A38" i="3"/>
  <c r="A256" i="3"/>
  <c r="A277" i="3"/>
  <c r="A117" i="3"/>
  <c r="A120" i="3"/>
  <c r="A123" i="3"/>
  <c r="A193" i="3"/>
  <c r="A228" i="3"/>
  <c r="A257" i="3"/>
  <c r="A20" i="3"/>
  <c r="A74" i="3"/>
  <c r="A141" i="3"/>
  <c r="A206" i="3"/>
  <c r="H2" i="2"/>
  <c r="H3" i="2" s="1"/>
  <c r="A150" i="3"/>
  <c r="B150" i="3" s="1"/>
  <c r="A276" i="3"/>
  <c r="B276" i="3" s="1"/>
  <c r="A291" i="3"/>
  <c r="B291" i="3" s="1"/>
  <c r="A124" i="3"/>
  <c r="B124" i="3" s="1"/>
  <c r="A205" i="3"/>
  <c r="B205" i="3" s="1"/>
  <c r="A227" i="3"/>
  <c r="B227" i="3" s="1"/>
  <c r="A112" i="3"/>
  <c r="B112" i="3" s="1"/>
  <c r="A204" i="3"/>
  <c r="O204" i="3" s="1"/>
  <c r="P204" i="3" s="1"/>
  <c r="A220" i="3"/>
  <c r="O220" i="3" s="1"/>
  <c r="P220" i="3" s="1"/>
  <c r="O124" i="3"/>
  <c r="P124" i="3" s="1"/>
  <c r="A175" i="3"/>
  <c r="C175" i="3" s="1"/>
  <c r="A189" i="3"/>
  <c r="H189" i="3" s="1"/>
  <c r="A80" i="3"/>
  <c r="C80" i="3" s="1"/>
  <c r="A140" i="3"/>
  <c r="N140" i="3" s="1"/>
  <c r="A274" i="3"/>
  <c r="B274" i="3" s="1"/>
  <c r="A36" i="3"/>
  <c r="N36" i="3" s="1"/>
  <c r="A287" i="3"/>
  <c r="A53" i="3"/>
  <c r="G53" i="3" s="1"/>
  <c r="A76" i="3"/>
  <c r="A68" i="3"/>
  <c r="O68" i="3" s="1"/>
  <c r="P68" i="3" s="1"/>
  <c r="A288" i="3"/>
  <c r="A97" i="3"/>
  <c r="B97" i="3" s="1"/>
  <c r="A219" i="3"/>
  <c r="A75" i="3"/>
  <c r="A85" i="3"/>
  <c r="A156" i="3"/>
  <c r="G156" i="3" s="1"/>
  <c r="A203" i="3"/>
  <c r="A40" i="3"/>
  <c r="A238" i="3"/>
  <c r="A270" i="3"/>
  <c r="A111" i="3"/>
  <c r="A39" i="3"/>
  <c r="A48" i="3"/>
  <c r="A102" i="3"/>
  <c r="A183" i="3"/>
  <c r="A201" i="3"/>
  <c r="A215" i="3"/>
  <c r="A269" i="3"/>
  <c r="A289" i="3"/>
  <c r="A70" i="3"/>
  <c r="A134" i="3"/>
  <c r="A125" i="3"/>
  <c r="B125" i="3" s="1"/>
  <c r="A147" i="3"/>
  <c r="A255" i="3"/>
  <c r="B255" i="3" s="1"/>
  <c r="A268" i="3"/>
  <c r="A1" i="7"/>
  <c r="A1" i="3" s="1"/>
  <c r="A283" i="3"/>
  <c r="A32" i="3"/>
  <c r="A162" i="3"/>
  <c r="A105" i="3"/>
  <c r="A82" i="3"/>
  <c r="A197" i="3"/>
  <c r="A211" i="3"/>
  <c r="A239" i="3"/>
  <c r="A254" i="3"/>
  <c r="A275" i="3"/>
  <c r="A128" i="3"/>
  <c r="A43" i="3"/>
  <c r="A166" i="3"/>
  <c r="A180" i="3"/>
  <c r="A51" i="3"/>
  <c r="A199" i="3"/>
  <c r="A266" i="3"/>
  <c r="A290" i="3"/>
  <c r="A45" i="3"/>
  <c r="A67" i="3"/>
  <c r="A242" i="3"/>
  <c r="A214" i="3"/>
  <c r="G214" i="3" s="1"/>
  <c r="A167" i="3"/>
  <c r="B167" i="3" s="1"/>
  <c r="A235" i="3"/>
  <c r="I235" i="3" s="1"/>
  <c r="A173" i="3"/>
  <c r="N173" i="3" s="1"/>
  <c r="A55" i="3"/>
  <c r="O55" i="3" s="1"/>
  <c r="P55" i="3" s="1"/>
  <c r="A243" i="3"/>
  <c r="B243" i="3" s="1"/>
  <c r="A178" i="3"/>
  <c r="B178" i="3" s="1"/>
  <c r="A37" i="3"/>
  <c r="O37" i="3" s="1"/>
  <c r="P37" i="3" s="1"/>
  <c r="A6" i="3"/>
  <c r="O6" i="3" s="1"/>
  <c r="P6" i="3" s="1"/>
  <c r="A4" i="3"/>
  <c r="B4" i="3" s="1"/>
  <c r="A179" i="3"/>
  <c r="B179" i="3" s="1"/>
  <c r="A79" i="3"/>
  <c r="B79" i="3" s="1"/>
  <c r="A213" i="3"/>
  <c r="H213" i="3" s="1"/>
  <c r="A160" i="3"/>
  <c r="O160" i="3" s="1"/>
  <c r="P160" i="3" s="1"/>
  <c r="A234" i="3"/>
  <c r="N234" i="3" s="1"/>
  <c r="A86" i="3"/>
  <c r="N86" i="3" s="1"/>
  <c r="A26" i="3"/>
  <c r="N26" i="3" s="1"/>
  <c r="A13" i="3"/>
  <c r="H13" i="3" s="1"/>
  <c r="A233" i="3"/>
  <c r="O233" i="3" s="1"/>
  <c r="P233" i="3" s="1"/>
  <c r="A7" i="3"/>
  <c r="I7" i="3" s="1"/>
  <c r="A286" i="3"/>
  <c r="N286" i="3" s="1"/>
  <c r="A144" i="3"/>
  <c r="N144" i="3" s="1"/>
  <c r="A170" i="3"/>
  <c r="I170" i="3" s="1"/>
  <c r="A31" i="3"/>
  <c r="N31" i="3" s="1"/>
  <c r="A35" i="3"/>
  <c r="B35" i="3" s="1"/>
  <c r="A217" i="3"/>
  <c r="G217" i="3" s="1"/>
  <c r="A62" i="3"/>
  <c r="O62" i="3" s="1"/>
  <c r="P62" i="3" s="1"/>
  <c r="A122" i="3"/>
  <c r="B122" i="3" s="1"/>
  <c r="A224" i="3"/>
  <c r="C224" i="3" s="1"/>
  <c r="E224" i="3" s="1"/>
  <c r="A121" i="3"/>
  <c r="O121" i="3" s="1"/>
  <c r="P121" i="3" s="1"/>
  <c r="A273" i="3"/>
  <c r="B273" i="3" s="1"/>
  <c r="A66" i="3"/>
  <c r="B66" i="3" s="1"/>
  <c r="A12" i="3"/>
  <c r="B12" i="3" s="1"/>
  <c r="A148" i="3"/>
  <c r="O148" i="3" s="1"/>
  <c r="P148" i="3" s="1"/>
  <c r="A54" i="3"/>
  <c r="N54" i="3" s="1"/>
  <c r="A50" i="3"/>
  <c r="B50" i="3" s="1"/>
  <c r="A149" i="3"/>
  <c r="N149" i="3" s="1"/>
  <c r="A24" i="3"/>
  <c r="B24" i="3" s="1"/>
  <c r="A19" i="3"/>
  <c r="N19" i="3" s="1"/>
  <c r="A44" i="3"/>
  <c r="N44" i="3" s="1"/>
  <c r="A89" i="3"/>
  <c r="H89" i="3" s="1"/>
  <c r="A60" i="3"/>
  <c r="N60" i="3" s="1"/>
  <c r="A285" i="3"/>
  <c r="B285" i="3" s="1"/>
  <c r="A143" i="3"/>
  <c r="O143" i="3" s="1"/>
  <c r="P143" i="3" s="1"/>
  <c r="A57" i="3"/>
  <c r="N57" i="3" s="1"/>
  <c r="A28" i="3"/>
  <c r="O28" i="3" s="1"/>
  <c r="P28" i="3" s="1"/>
  <c r="A94" i="3"/>
  <c r="N94" i="3" s="1"/>
  <c r="A84" i="3"/>
  <c r="O84" i="3" s="1"/>
  <c r="P84" i="3" s="1"/>
  <c r="A198" i="3"/>
  <c r="H198" i="3" s="1"/>
  <c r="A2" i="3"/>
  <c r="O2" i="3" s="1"/>
  <c r="P2" i="3" s="1"/>
  <c r="A244" i="3"/>
  <c r="G244" i="3" s="1"/>
  <c r="A33" i="3"/>
  <c r="N33" i="3" s="1"/>
  <c r="A253" i="3"/>
  <c r="O253" i="3" s="1"/>
  <c r="P253" i="3" s="1"/>
  <c r="A139" i="3"/>
  <c r="N139" i="3" s="1"/>
  <c r="A172" i="3"/>
  <c r="H172" i="3" s="1"/>
  <c r="A182" i="3"/>
  <c r="B182" i="3" s="1"/>
  <c r="A284" i="3"/>
  <c r="B284" i="3" s="1"/>
  <c r="A81" i="3"/>
  <c r="H81" i="3" s="1"/>
  <c r="A63" i="3"/>
  <c r="B63" i="3" s="1"/>
  <c r="A216" i="3"/>
  <c r="C216" i="3" s="1"/>
  <c r="E216" i="3" s="1"/>
  <c r="A3" i="3"/>
  <c r="N3" i="3" s="1"/>
  <c r="A240" i="3"/>
  <c r="N240" i="3" s="1"/>
  <c r="A119" i="3"/>
  <c r="G119" i="3" s="1"/>
  <c r="A165" i="3"/>
  <c r="H165" i="3" s="1"/>
  <c r="A154" i="3"/>
  <c r="B154" i="3" s="1"/>
  <c r="A91" i="3"/>
  <c r="O91" i="3" s="1"/>
  <c r="P91" i="3" s="1"/>
  <c r="A61" i="3"/>
  <c r="O61" i="3" s="1"/>
  <c r="P61" i="3" s="1"/>
  <c r="A106" i="3"/>
  <c r="G106" i="3" s="1"/>
  <c r="A15" i="3"/>
  <c r="N15" i="3" s="1"/>
  <c r="A192" i="3"/>
  <c r="C192" i="3" s="1"/>
  <c r="E192" i="3" s="1"/>
  <c r="A225" i="3"/>
  <c r="B225" i="3" s="1"/>
  <c r="A116" i="3"/>
  <c r="N116" i="3" s="1"/>
  <c r="A59" i="3"/>
  <c r="B59" i="3" s="1"/>
  <c r="A110" i="3"/>
  <c r="O110" i="3" s="1"/>
  <c r="P110" i="3" s="1"/>
  <c r="A250" i="3"/>
  <c r="N250" i="3" s="1"/>
  <c r="A210" i="3"/>
  <c r="O210" i="3" s="1"/>
  <c r="P210" i="3" s="1"/>
  <c r="A171" i="3"/>
  <c r="I171" i="3" s="1"/>
  <c r="A109" i="3"/>
  <c r="G109" i="3" s="1"/>
  <c r="A99" i="3"/>
  <c r="N99" i="3" s="1"/>
  <c r="A184" i="3"/>
  <c r="B184" i="3" s="1"/>
  <c r="A252" i="3"/>
  <c r="H252" i="3" s="1"/>
  <c r="A95" i="3"/>
  <c r="G95" i="3" s="1"/>
  <c r="A104" i="3"/>
  <c r="O104" i="3" s="1"/>
  <c r="P104" i="3" s="1"/>
  <c r="A237" i="3"/>
  <c r="N237" i="3" s="1"/>
  <c r="A77" i="3"/>
  <c r="O77" i="3" s="1"/>
  <c r="P77" i="3" s="1"/>
  <c r="A108" i="3"/>
  <c r="I108" i="3" s="1"/>
  <c r="A46" i="3"/>
  <c r="C46" i="3" s="1"/>
  <c r="E46" i="3" s="1"/>
  <c r="A127" i="3"/>
  <c r="N127" i="3" s="1"/>
  <c r="A65" i="3"/>
  <c r="O65" i="3" s="1"/>
  <c r="P65" i="3" s="1"/>
  <c r="A236" i="3"/>
  <c r="B236" i="3" s="1"/>
  <c r="A52" i="3"/>
  <c r="B52" i="3" s="1"/>
  <c r="A21" i="3"/>
  <c r="I21" i="3" s="1"/>
  <c r="A161" i="3"/>
  <c r="I161" i="3" s="1"/>
  <c r="A190" i="3"/>
  <c r="N190" i="3" s="1"/>
  <c r="A153" i="3"/>
  <c r="O153" i="3" s="1"/>
  <c r="P153" i="3" s="1"/>
  <c r="A16" i="3"/>
  <c r="N16" i="3" s="1"/>
  <c r="A126" i="3"/>
  <c r="B126" i="3" s="1"/>
  <c r="A168" i="3"/>
  <c r="N168" i="3" s="1"/>
  <c r="A226" i="3"/>
  <c r="G226" i="3" s="1"/>
  <c r="A58" i="3"/>
  <c r="N58" i="3" s="1"/>
  <c r="A241" i="3"/>
  <c r="N241" i="3" s="1"/>
  <c r="A164" i="3"/>
  <c r="O164" i="3" s="1"/>
  <c r="P164" i="3" s="1"/>
  <c r="A177" i="3"/>
  <c r="N177" i="3" s="1"/>
  <c r="A11" i="3"/>
  <c r="A73" i="3"/>
  <c r="B73" i="3" s="1"/>
  <c r="A5" i="3"/>
  <c r="H5" i="3" s="1"/>
  <c r="A155" i="3"/>
  <c r="B155" i="3" s="1"/>
  <c r="A202" i="3"/>
  <c r="N202" i="3" s="1"/>
  <c r="A133" i="3"/>
  <c r="N133" i="3" s="1"/>
  <c r="A191" i="3"/>
  <c r="N191" i="3" s="1"/>
  <c r="A163" i="3"/>
  <c r="O163" i="3" s="1"/>
  <c r="P163" i="3" s="1"/>
  <c r="A9" i="3"/>
  <c r="G9" i="3" s="1"/>
  <c r="A96" i="3"/>
  <c r="H96" i="3" s="1"/>
  <c r="A34" i="3"/>
  <c r="O34" i="3" s="1"/>
  <c r="P34" i="3" s="1"/>
  <c r="A18" i="3"/>
  <c r="H18" i="3" s="1"/>
  <c r="A132" i="3"/>
  <c r="O132" i="3" s="1"/>
  <c r="P132" i="3" s="1"/>
  <c r="A14" i="3"/>
  <c r="B14" i="3" s="1"/>
  <c r="A100" i="3"/>
  <c r="B100" i="3" s="1"/>
  <c r="A83" i="3"/>
  <c r="H83" i="3" s="1"/>
  <c r="A64" i="3"/>
  <c r="N64" i="3" s="1"/>
  <c r="A10" i="3"/>
  <c r="O10" i="3" s="1"/>
  <c r="P10" i="3" s="1"/>
  <c r="A25" i="3"/>
  <c r="G25" i="3" s="1"/>
  <c r="A218" i="3"/>
  <c r="B218" i="3" s="1"/>
  <c r="A22" i="3"/>
  <c r="O22" i="3" s="1"/>
  <c r="P22" i="3" s="1"/>
  <c r="A212" i="3"/>
  <c r="C212" i="3" s="1"/>
  <c r="E212" i="3" s="1"/>
  <c r="A103" i="3"/>
  <c r="H103" i="3" s="1"/>
  <c r="A49" i="3"/>
  <c r="G49" i="3" s="1"/>
  <c r="A98" i="3"/>
  <c r="N98" i="3" s="1"/>
  <c r="A71" i="3"/>
  <c r="B71" i="3" s="1"/>
  <c r="A138" i="3"/>
  <c r="B138" i="3" s="1"/>
  <c r="A27" i="3"/>
  <c r="A271" i="3"/>
  <c r="N271" i="3" s="1"/>
  <c r="A42" i="3"/>
  <c r="O42" i="3" s="1"/>
  <c r="P42" i="3" s="1"/>
  <c r="A267" i="3"/>
  <c r="N267" i="3" s="1"/>
  <c r="A88" i="3"/>
  <c r="N88" i="3" s="1"/>
  <c r="A145" i="3"/>
  <c r="B145" i="3" s="1"/>
  <c r="A69" i="3"/>
  <c r="N69" i="3" s="1"/>
  <c r="A8" i="3"/>
  <c r="N8" i="3" s="1"/>
  <c r="A29" i="3"/>
  <c r="N29" i="3" s="1"/>
  <c r="A129" i="3"/>
  <c r="N129" i="3" s="1"/>
  <c r="A47" i="3"/>
  <c r="N47" i="3" s="1"/>
  <c r="A113" i="3"/>
  <c r="N113" i="3" s="1"/>
  <c r="A181" i="3"/>
  <c r="N181" i="3" s="1"/>
  <c r="A251" i="3"/>
  <c r="N251" i="3" s="1"/>
  <c r="A176" i="3"/>
  <c r="B176" i="3" s="1"/>
  <c r="A265" i="3"/>
  <c r="O265" i="3" s="1"/>
  <c r="P265" i="3" s="1"/>
  <c r="A272" i="3"/>
  <c r="N272" i="3" s="1"/>
  <c r="A200" i="3"/>
  <c r="N200" i="3" s="1"/>
  <c r="A17" i="3"/>
  <c r="O17" i="3" s="1"/>
  <c r="P17" i="3" s="1"/>
  <c r="A264" i="3"/>
  <c r="O264" i="3" s="1"/>
  <c r="P264" i="3" s="1"/>
  <c r="A23" i="3"/>
  <c r="O23" i="3" s="1"/>
  <c r="P23" i="3" s="1"/>
  <c r="Q46" i="6"/>
  <c r="Q27" i="6"/>
  <c r="Q44" i="6"/>
  <c r="Q38" i="6"/>
  <c r="Q33" i="6"/>
  <c r="Q36" i="6"/>
  <c r="Q28" i="6"/>
  <c r="Q42" i="6"/>
  <c r="Q39" i="6"/>
  <c r="Q26" i="6"/>
  <c r="Q31" i="6"/>
  <c r="Q34" i="6"/>
  <c r="Q37" i="6"/>
  <c r="Q40" i="6"/>
  <c r="J282" i="3" l="1"/>
  <c r="I118" i="3"/>
  <c r="C118" i="3"/>
  <c r="E118" i="3" s="1"/>
  <c r="F282" i="3"/>
  <c r="N118" i="3"/>
  <c r="G118" i="3"/>
  <c r="L282" i="3"/>
  <c r="O118" i="3"/>
  <c r="P118" i="3" s="1"/>
  <c r="H118" i="3"/>
  <c r="J118" i="3" s="1"/>
  <c r="D282" i="3"/>
  <c r="B263" i="3"/>
  <c r="C263" i="3"/>
  <c r="E263" i="3" s="1"/>
  <c r="G263" i="3"/>
  <c r="H263" i="3"/>
  <c r="I263" i="3"/>
  <c r="N263" i="3"/>
  <c r="O263" i="3"/>
  <c r="P263" i="3" s="1"/>
  <c r="C249" i="3"/>
  <c r="E249" i="3" s="1"/>
  <c r="B249" i="3"/>
  <c r="D118" i="3"/>
  <c r="N249" i="3"/>
  <c r="I249" i="3"/>
  <c r="O249" i="3"/>
  <c r="P249" i="3" s="1"/>
  <c r="H249" i="3"/>
  <c r="L118" i="3"/>
  <c r="B262" i="3"/>
  <c r="C262" i="3"/>
  <c r="E262" i="3" s="1"/>
  <c r="G262" i="3"/>
  <c r="H262" i="3"/>
  <c r="I262" i="3"/>
  <c r="N262" i="3"/>
  <c r="O262" i="3"/>
  <c r="P262" i="3" s="1"/>
  <c r="B223" i="3"/>
  <c r="C223" i="3"/>
  <c r="E223" i="3" s="1"/>
  <c r="G223" i="3"/>
  <c r="H223" i="3"/>
  <c r="I223" i="3"/>
  <c r="N223" i="3"/>
  <c r="O223" i="3"/>
  <c r="P223" i="3" s="1"/>
  <c r="B209" i="3"/>
  <c r="C209" i="3"/>
  <c r="E209" i="3" s="1"/>
  <c r="G209" i="3"/>
  <c r="H209" i="3"/>
  <c r="I209" i="3"/>
  <c r="N209" i="3"/>
  <c r="O209" i="3"/>
  <c r="P209" i="3" s="1"/>
  <c r="B196" i="3"/>
  <c r="C196" i="3"/>
  <c r="E196" i="3" s="1"/>
  <c r="G196" i="3"/>
  <c r="H196" i="3"/>
  <c r="I196" i="3"/>
  <c r="N196" i="3"/>
  <c r="O196" i="3"/>
  <c r="P196" i="3" s="1"/>
  <c r="B159" i="3"/>
  <c r="C159" i="3"/>
  <c r="E159" i="3" s="1"/>
  <c r="G159" i="3"/>
  <c r="H159" i="3"/>
  <c r="I159" i="3"/>
  <c r="N159" i="3"/>
  <c r="O159" i="3"/>
  <c r="P159" i="3" s="1"/>
  <c r="B232" i="3"/>
  <c r="C232" i="3"/>
  <c r="E232" i="3" s="1"/>
  <c r="G232" i="3"/>
  <c r="H232" i="3"/>
  <c r="I232" i="3"/>
  <c r="N232" i="3"/>
  <c r="O232" i="3"/>
  <c r="P232" i="3" s="1"/>
  <c r="B131" i="3"/>
  <c r="C131" i="3"/>
  <c r="E131" i="3" s="1"/>
  <c r="G131" i="3"/>
  <c r="H131" i="3"/>
  <c r="I131" i="3"/>
  <c r="N131" i="3"/>
  <c r="O131" i="3"/>
  <c r="P131" i="3" s="1"/>
  <c r="B281" i="3"/>
  <c r="C281" i="3"/>
  <c r="E281" i="3" s="1"/>
  <c r="G281" i="3"/>
  <c r="H281" i="3"/>
  <c r="I281" i="3"/>
  <c r="N281" i="3"/>
  <c r="O281" i="3"/>
  <c r="P281" i="3" s="1"/>
  <c r="O231" i="3"/>
  <c r="P231" i="3" s="1"/>
  <c r="G231" i="3"/>
  <c r="B231" i="3"/>
  <c r="C231" i="3"/>
  <c r="E231" i="3" s="1"/>
  <c r="N231" i="3"/>
  <c r="H231" i="3"/>
  <c r="F231" i="3" s="1"/>
  <c r="B248" i="3"/>
  <c r="N248" i="3"/>
  <c r="I248" i="3"/>
  <c r="C248" i="3"/>
  <c r="L248" i="3" s="1"/>
  <c r="H248" i="3"/>
  <c r="O248" i="3"/>
  <c r="P248" i="3" s="1"/>
  <c r="G142" i="3"/>
  <c r="N142" i="3"/>
  <c r="C142" i="3"/>
  <c r="E142" i="3" s="1"/>
  <c r="I142" i="3"/>
  <c r="N261" i="3"/>
  <c r="O142" i="3"/>
  <c r="P142" i="3" s="1"/>
  <c r="H142" i="3"/>
  <c r="I222" i="3"/>
  <c r="B222" i="3"/>
  <c r="C222" i="3"/>
  <c r="E222" i="3" s="1"/>
  <c r="G222" i="3"/>
  <c r="H222" i="3"/>
  <c r="N222" i="3"/>
  <c r="O222" i="3"/>
  <c r="P222" i="3" s="1"/>
  <c r="C261" i="3"/>
  <c r="E261" i="3" s="1"/>
  <c r="O261" i="3"/>
  <c r="P261" i="3" s="1"/>
  <c r="H261" i="3"/>
  <c r="H221" i="3"/>
  <c r="G261" i="3"/>
  <c r="I261" i="3"/>
  <c r="G152" i="3"/>
  <c r="I152" i="3"/>
  <c r="N221" i="3"/>
  <c r="N152" i="3"/>
  <c r="C152" i="3"/>
  <c r="E152" i="3" s="1"/>
  <c r="O221" i="3"/>
  <c r="P221" i="3" s="1"/>
  <c r="G221" i="3"/>
  <c r="O152" i="3"/>
  <c r="P152" i="3" s="1"/>
  <c r="H152" i="3"/>
  <c r="C221" i="3"/>
  <c r="I221" i="3"/>
  <c r="B280" i="3"/>
  <c r="D280" i="3" s="1"/>
  <c r="G280" i="3"/>
  <c r="L280" i="3" s="1"/>
  <c r="H280" i="3"/>
  <c r="J280" i="3" s="1"/>
  <c r="I280" i="3"/>
  <c r="K280" i="3" s="1"/>
  <c r="N280" i="3"/>
  <c r="O280" i="3"/>
  <c r="P280" i="3" s="1"/>
  <c r="E280" i="3"/>
  <c r="B247" i="3"/>
  <c r="C247" i="3"/>
  <c r="E247" i="3" s="1"/>
  <c r="G247" i="3"/>
  <c r="H247" i="3"/>
  <c r="I247" i="3"/>
  <c r="N247" i="3"/>
  <c r="O247" i="3"/>
  <c r="P247" i="3" s="1"/>
  <c r="B195" i="3"/>
  <c r="C195" i="3"/>
  <c r="E195" i="3" s="1"/>
  <c r="G195" i="3"/>
  <c r="H195" i="3"/>
  <c r="I195" i="3"/>
  <c r="N195" i="3"/>
  <c r="O195" i="3"/>
  <c r="P195" i="3" s="1"/>
  <c r="I279" i="3"/>
  <c r="F279" i="3" s="1"/>
  <c r="G279" i="3"/>
  <c r="C279" i="3"/>
  <c r="E279" i="3" s="1"/>
  <c r="O279" i="3"/>
  <c r="P279" i="3" s="1"/>
  <c r="N279" i="3"/>
  <c r="B279" i="3"/>
  <c r="B87" i="3"/>
  <c r="D87" i="3" s="1"/>
  <c r="N246" i="3"/>
  <c r="B293" i="3"/>
  <c r="C293" i="3"/>
  <c r="E293" i="3" s="1"/>
  <c r="G293" i="3"/>
  <c r="H293" i="3"/>
  <c r="I293" i="3"/>
  <c r="N293" i="3"/>
  <c r="O293" i="3"/>
  <c r="P293" i="3" s="1"/>
  <c r="O87" i="3"/>
  <c r="P87" i="3" s="1"/>
  <c r="I188" i="3"/>
  <c r="O246" i="3"/>
  <c r="P246" i="3" s="1"/>
  <c r="G246" i="3"/>
  <c r="L246" i="3" s="1"/>
  <c r="H188" i="3"/>
  <c r="H246" i="3"/>
  <c r="J246" i="3" s="1"/>
  <c r="N208" i="3"/>
  <c r="I246" i="3"/>
  <c r="K246" i="3" s="1"/>
  <c r="B151" i="3"/>
  <c r="C151" i="3"/>
  <c r="E151" i="3" s="1"/>
  <c r="G151" i="3"/>
  <c r="H151" i="3"/>
  <c r="I151" i="3"/>
  <c r="N151" i="3"/>
  <c r="O151" i="3"/>
  <c r="P151" i="3" s="1"/>
  <c r="B260" i="3"/>
  <c r="C260" i="3"/>
  <c r="E260" i="3" s="1"/>
  <c r="G260" i="3"/>
  <c r="H260" i="3"/>
  <c r="I260" i="3"/>
  <c r="N260" i="3"/>
  <c r="O260" i="3"/>
  <c r="P260" i="3" s="1"/>
  <c r="E87" i="3"/>
  <c r="N87" i="3"/>
  <c r="B208" i="3"/>
  <c r="D208" i="3" s="1"/>
  <c r="H87" i="3"/>
  <c r="J87" i="3" s="1"/>
  <c r="I87" i="3"/>
  <c r="K87" i="3" s="1"/>
  <c r="G87" i="3"/>
  <c r="L87" i="3" s="1"/>
  <c r="I208" i="3"/>
  <c r="K208" i="3" s="1"/>
  <c r="G208" i="3"/>
  <c r="L208" i="3" s="1"/>
  <c r="H208" i="3"/>
  <c r="J208" i="3" s="1"/>
  <c r="O208" i="3"/>
  <c r="P208" i="3" s="1"/>
  <c r="D246" i="3"/>
  <c r="C188" i="3"/>
  <c r="E188" i="3" s="1"/>
  <c r="B188" i="3"/>
  <c r="G188" i="3"/>
  <c r="O188" i="3"/>
  <c r="P188" i="3" s="1"/>
  <c r="H137" i="3"/>
  <c r="H187" i="3"/>
  <c r="I137" i="3"/>
  <c r="N187" i="3"/>
  <c r="G137" i="3"/>
  <c r="I187" i="3"/>
  <c r="N137" i="3"/>
  <c r="O41" i="3"/>
  <c r="P41" i="3" s="1"/>
  <c r="C137" i="3"/>
  <c r="E137" i="3" s="1"/>
  <c r="O137" i="3"/>
  <c r="P137" i="3" s="1"/>
  <c r="H41" i="3"/>
  <c r="C41" i="3"/>
  <c r="E41" i="3" s="1"/>
  <c r="I41" i="3"/>
  <c r="G41" i="3"/>
  <c r="N41" i="3"/>
  <c r="C187" i="3"/>
  <c r="E187" i="3" s="1"/>
  <c r="G187" i="3"/>
  <c r="O187" i="3"/>
  <c r="P187" i="3" s="1"/>
  <c r="N107" i="3"/>
  <c r="I107" i="3"/>
  <c r="O78" i="3"/>
  <c r="P78" i="3" s="1"/>
  <c r="O107" i="3"/>
  <c r="P107" i="3" s="1"/>
  <c r="G107" i="3"/>
  <c r="C107" i="3"/>
  <c r="E107" i="3" s="1"/>
  <c r="H78" i="3"/>
  <c r="H107" i="3"/>
  <c r="C78" i="3"/>
  <c r="E78" i="3" s="1"/>
  <c r="I78" i="3"/>
  <c r="B78" i="3"/>
  <c r="I130" i="3"/>
  <c r="N78" i="3"/>
  <c r="B230" i="3"/>
  <c r="C230" i="3"/>
  <c r="E230" i="3" s="1"/>
  <c r="G230" i="3"/>
  <c r="H230" i="3"/>
  <c r="I230" i="3"/>
  <c r="N230" i="3"/>
  <c r="O230" i="3"/>
  <c r="P230" i="3" s="1"/>
  <c r="N135" i="3"/>
  <c r="G130" i="3"/>
  <c r="B278" i="3"/>
  <c r="C278" i="3"/>
  <c r="E278" i="3" s="1"/>
  <c r="G278" i="3"/>
  <c r="H278" i="3"/>
  <c r="I278" i="3"/>
  <c r="N278" i="3"/>
  <c r="O278" i="3"/>
  <c r="P278" i="3" s="1"/>
  <c r="G150" i="3"/>
  <c r="O130" i="3"/>
  <c r="P130" i="3" s="1"/>
  <c r="N130" i="3"/>
  <c r="C130" i="3"/>
  <c r="E130" i="3" s="1"/>
  <c r="H130" i="3"/>
  <c r="B101" i="3"/>
  <c r="C101" i="3"/>
  <c r="E101" i="3" s="1"/>
  <c r="G101" i="3"/>
  <c r="H101" i="3"/>
  <c r="I101" i="3"/>
  <c r="N101" i="3"/>
  <c r="O101" i="3"/>
  <c r="P101" i="3" s="1"/>
  <c r="C291" i="3"/>
  <c r="G135" i="3"/>
  <c r="I276" i="3"/>
  <c r="C276" i="3"/>
  <c r="D276" i="3" s="1"/>
  <c r="G227" i="3"/>
  <c r="H135" i="3"/>
  <c r="H205" i="3"/>
  <c r="I135" i="3"/>
  <c r="I114" i="3"/>
  <c r="H204" i="3"/>
  <c r="C124" i="3"/>
  <c r="D124" i="3" s="1"/>
  <c r="C135" i="3"/>
  <c r="D135" i="3" s="1"/>
  <c r="G124" i="3"/>
  <c r="H124" i="3"/>
  <c r="H150" i="3"/>
  <c r="N150" i="3"/>
  <c r="C150" i="3"/>
  <c r="D150" i="3" s="1"/>
  <c r="C114" i="3"/>
  <c r="E114" i="3" s="1"/>
  <c r="I124" i="3"/>
  <c r="G112" i="3"/>
  <c r="C204" i="3"/>
  <c r="E204" i="3" s="1"/>
  <c r="I204" i="3"/>
  <c r="G205" i="3"/>
  <c r="H276" i="3"/>
  <c r="G204" i="3"/>
  <c r="C205" i="3"/>
  <c r="D205" i="3" s="1"/>
  <c r="G276" i="3"/>
  <c r="I205" i="3"/>
  <c r="O114" i="3"/>
  <c r="P114" i="3" s="1"/>
  <c r="H114" i="3"/>
  <c r="B114" i="3"/>
  <c r="G291" i="3"/>
  <c r="I150" i="3"/>
  <c r="O135" i="3"/>
  <c r="P135" i="3" s="1"/>
  <c r="N114" i="3"/>
  <c r="B92" i="3"/>
  <c r="C92" i="3"/>
  <c r="E92" i="3" s="1"/>
  <c r="G92" i="3"/>
  <c r="H92" i="3"/>
  <c r="I92" i="3"/>
  <c r="N92" i="3"/>
  <c r="O92" i="3"/>
  <c r="P92" i="3" s="1"/>
  <c r="I291" i="3"/>
  <c r="N276" i="3"/>
  <c r="B206" i="3"/>
  <c r="C206" i="3"/>
  <c r="E206" i="3" s="1"/>
  <c r="G206" i="3"/>
  <c r="H206" i="3"/>
  <c r="I206" i="3"/>
  <c r="N206" i="3"/>
  <c r="O206" i="3"/>
  <c r="P206" i="3" s="1"/>
  <c r="B141" i="3"/>
  <c r="C141" i="3"/>
  <c r="E141" i="3" s="1"/>
  <c r="G141" i="3"/>
  <c r="H141" i="3"/>
  <c r="I141" i="3"/>
  <c r="N141" i="3"/>
  <c r="O141" i="3"/>
  <c r="P141" i="3" s="1"/>
  <c r="B74" i="3"/>
  <c r="C74" i="3"/>
  <c r="E74" i="3" s="1"/>
  <c r="G74" i="3"/>
  <c r="H74" i="3"/>
  <c r="I74" i="3"/>
  <c r="N74" i="3"/>
  <c r="O74" i="3"/>
  <c r="P74" i="3" s="1"/>
  <c r="B20" i="3"/>
  <c r="C20" i="3"/>
  <c r="E20" i="3" s="1"/>
  <c r="G20" i="3"/>
  <c r="H20" i="3"/>
  <c r="I20" i="3"/>
  <c r="N20" i="3"/>
  <c r="O20" i="3"/>
  <c r="P20" i="3" s="1"/>
  <c r="B257" i="3"/>
  <c r="C257" i="3"/>
  <c r="E257" i="3" s="1"/>
  <c r="G257" i="3"/>
  <c r="H257" i="3"/>
  <c r="I257" i="3"/>
  <c r="N257" i="3"/>
  <c r="O257" i="3"/>
  <c r="P257" i="3" s="1"/>
  <c r="B228" i="3"/>
  <c r="C228" i="3"/>
  <c r="E228" i="3" s="1"/>
  <c r="G228" i="3"/>
  <c r="H228" i="3"/>
  <c r="I228" i="3"/>
  <c r="N228" i="3"/>
  <c r="O228" i="3"/>
  <c r="P228" i="3" s="1"/>
  <c r="B193" i="3"/>
  <c r="C193" i="3"/>
  <c r="E193" i="3" s="1"/>
  <c r="G193" i="3"/>
  <c r="H193" i="3"/>
  <c r="I193" i="3"/>
  <c r="N193" i="3"/>
  <c r="O193" i="3"/>
  <c r="P193" i="3" s="1"/>
  <c r="B123" i="3"/>
  <c r="C123" i="3"/>
  <c r="E123" i="3" s="1"/>
  <c r="G123" i="3"/>
  <c r="H123" i="3"/>
  <c r="I123" i="3"/>
  <c r="N123" i="3"/>
  <c r="O123" i="3"/>
  <c r="P123" i="3" s="1"/>
  <c r="B120" i="3"/>
  <c r="C120" i="3"/>
  <c r="E120" i="3" s="1"/>
  <c r="G120" i="3"/>
  <c r="H120" i="3"/>
  <c r="I120" i="3"/>
  <c r="N120" i="3"/>
  <c r="O120" i="3"/>
  <c r="P120" i="3" s="1"/>
  <c r="B117" i="3"/>
  <c r="C117" i="3"/>
  <c r="E117" i="3" s="1"/>
  <c r="G117" i="3"/>
  <c r="H117" i="3"/>
  <c r="I117" i="3"/>
  <c r="N117" i="3"/>
  <c r="O117" i="3"/>
  <c r="P117" i="3" s="1"/>
  <c r="B277" i="3"/>
  <c r="C277" i="3"/>
  <c r="E277" i="3" s="1"/>
  <c r="G277" i="3"/>
  <c r="H277" i="3"/>
  <c r="I277" i="3"/>
  <c r="N277" i="3"/>
  <c r="O277" i="3"/>
  <c r="P277" i="3" s="1"/>
  <c r="B256" i="3"/>
  <c r="C256" i="3"/>
  <c r="E256" i="3" s="1"/>
  <c r="G256" i="3"/>
  <c r="H256" i="3"/>
  <c r="I256" i="3"/>
  <c r="N256" i="3"/>
  <c r="O256" i="3"/>
  <c r="P256" i="3" s="1"/>
  <c r="B38" i="3"/>
  <c r="C38" i="3"/>
  <c r="E38" i="3" s="1"/>
  <c r="G38" i="3"/>
  <c r="H38" i="3"/>
  <c r="I38" i="3"/>
  <c r="N38" i="3"/>
  <c r="O38" i="3"/>
  <c r="P38" i="3" s="1"/>
  <c r="B157" i="3"/>
  <c r="C157" i="3"/>
  <c r="E157" i="3" s="1"/>
  <c r="G157" i="3"/>
  <c r="H157" i="3"/>
  <c r="I157" i="3"/>
  <c r="N157" i="3"/>
  <c r="O157" i="3"/>
  <c r="P157" i="3" s="1"/>
  <c r="B72" i="3"/>
  <c r="C72" i="3"/>
  <c r="E72" i="3" s="1"/>
  <c r="G72" i="3"/>
  <c r="H72" i="3"/>
  <c r="I72" i="3"/>
  <c r="N72" i="3"/>
  <c r="O72" i="3"/>
  <c r="P72" i="3" s="1"/>
  <c r="B93" i="3"/>
  <c r="C93" i="3"/>
  <c r="E93" i="3" s="1"/>
  <c r="G93" i="3"/>
  <c r="H93" i="3"/>
  <c r="I93" i="3"/>
  <c r="N93" i="3"/>
  <c r="O93" i="3"/>
  <c r="P93" i="3" s="1"/>
  <c r="B259" i="3"/>
  <c r="C259" i="3"/>
  <c r="E259" i="3" s="1"/>
  <c r="G259" i="3"/>
  <c r="H259" i="3"/>
  <c r="I259" i="3"/>
  <c r="N259" i="3"/>
  <c r="O259" i="3"/>
  <c r="P259" i="3" s="1"/>
  <c r="B245" i="3"/>
  <c r="C245" i="3"/>
  <c r="E245" i="3" s="1"/>
  <c r="G245" i="3"/>
  <c r="H245" i="3"/>
  <c r="I245" i="3"/>
  <c r="N245" i="3"/>
  <c r="O245" i="3"/>
  <c r="P245" i="3" s="1"/>
  <c r="B185" i="3"/>
  <c r="C185" i="3"/>
  <c r="E185" i="3" s="1"/>
  <c r="G185" i="3"/>
  <c r="H185" i="3"/>
  <c r="I185" i="3"/>
  <c r="N185" i="3"/>
  <c r="O185" i="3"/>
  <c r="P185" i="3" s="1"/>
  <c r="B158" i="3"/>
  <c r="C158" i="3"/>
  <c r="E158" i="3" s="1"/>
  <c r="G158" i="3"/>
  <c r="H158" i="3"/>
  <c r="I158" i="3"/>
  <c r="N158" i="3"/>
  <c r="O158" i="3"/>
  <c r="P158" i="3" s="1"/>
  <c r="B146" i="3"/>
  <c r="C146" i="3"/>
  <c r="E146" i="3" s="1"/>
  <c r="G146" i="3"/>
  <c r="H146" i="3"/>
  <c r="I146" i="3"/>
  <c r="N146" i="3"/>
  <c r="O146" i="3"/>
  <c r="P146" i="3" s="1"/>
  <c r="B292" i="3"/>
  <c r="C292" i="3"/>
  <c r="E292" i="3" s="1"/>
  <c r="G292" i="3"/>
  <c r="H292" i="3"/>
  <c r="I292" i="3"/>
  <c r="N292" i="3"/>
  <c r="O292" i="3"/>
  <c r="P292" i="3" s="1"/>
  <c r="B258" i="3"/>
  <c r="C258" i="3"/>
  <c r="E258" i="3" s="1"/>
  <c r="G258" i="3"/>
  <c r="H258" i="3"/>
  <c r="I258" i="3"/>
  <c r="N258" i="3"/>
  <c r="O258" i="3"/>
  <c r="P258" i="3" s="1"/>
  <c r="B194" i="3"/>
  <c r="C194" i="3"/>
  <c r="E194" i="3" s="1"/>
  <c r="G194" i="3"/>
  <c r="H194" i="3"/>
  <c r="I194" i="3"/>
  <c r="N194" i="3"/>
  <c r="O194" i="3"/>
  <c r="P194" i="3" s="1"/>
  <c r="B169" i="3"/>
  <c r="C169" i="3"/>
  <c r="E169" i="3" s="1"/>
  <c r="G169" i="3"/>
  <c r="H169" i="3"/>
  <c r="I169" i="3"/>
  <c r="N169" i="3"/>
  <c r="O169" i="3"/>
  <c r="P169" i="3" s="1"/>
  <c r="B136" i="3"/>
  <c r="C136" i="3"/>
  <c r="E136" i="3" s="1"/>
  <c r="G136" i="3"/>
  <c r="H136" i="3"/>
  <c r="I136" i="3"/>
  <c r="N136" i="3"/>
  <c r="O136" i="3"/>
  <c r="P136" i="3" s="1"/>
  <c r="B90" i="3"/>
  <c r="C90" i="3"/>
  <c r="E90" i="3" s="1"/>
  <c r="G90" i="3"/>
  <c r="H90" i="3"/>
  <c r="I90" i="3"/>
  <c r="N90" i="3"/>
  <c r="O90" i="3"/>
  <c r="P90" i="3" s="1"/>
  <c r="B115" i="3"/>
  <c r="C115" i="3"/>
  <c r="E115" i="3" s="1"/>
  <c r="G115" i="3"/>
  <c r="H115" i="3"/>
  <c r="I115" i="3"/>
  <c r="N115" i="3"/>
  <c r="O115" i="3"/>
  <c r="P115" i="3" s="1"/>
  <c r="B30" i="3"/>
  <c r="C30" i="3"/>
  <c r="E30" i="3" s="1"/>
  <c r="G30" i="3"/>
  <c r="H30" i="3"/>
  <c r="I30" i="3"/>
  <c r="N30" i="3"/>
  <c r="O30" i="3"/>
  <c r="P30" i="3" s="1"/>
  <c r="B229" i="3"/>
  <c r="C229" i="3"/>
  <c r="E229" i="3" s="1"/>
  <c r="G229" i="3"/>
  <c r="H229" i="3"/>
  <c r="I229" i="3"/>
  <c r="N229" i="3"/>
  <c r="O229" i="3"/>
  <c r="P229" i="3" s="1"/>
  <c r="B56" i="3"/>
  <c r="C56" i="3"/>
  <c r="E56" i="3" s="1"/>
  <c r="G56" i="3"/>
  <c r="H56" i="3"/>
  <c r="I56" i="3"/>
  <c r="N56" i="3"/>
  <c r="O56" i="3"/>
  <c r="P56" i="3" s="1"/>
  <c r="B207" i="3"/>
  <c r="C207" i="3"/>
  <c r="E207" i="3" s="1"/>
  <c r="G207" i="3"/>
  <c r="H207" i="3"/>
  <c r="I207" i="3"/>
  <c r="N207" i="3"/>
  <c r="O207" i="3"/>
  <c r="P207" i="3" s="1"/>
  <c r="B186" i="3"/>
  <c r="C186" i="3"/>
  <c r="E186" i="3" s="1"/>
  <c r="G186" i="3"/>
  <c r="H186" i="3"/>
  <c r="I186" i="3"/>
  <c r="N186" i="3"/>
  <c r="O186" i="3"/>
  <c r="P186" i="3" s="1"/>
  <c r="B174" i="3"/>
  <c r="C174" i="3"/>
  <c r="E174" i="3" s="1"/>
  <c r="G174" i="3"/>
  <c r="H174" i="3"/>
  <c r="I174" i="3"/>
  <c r="N174" i="3"/>
  <c r="O174" i="3"/>
  <c r="P174" i="3" s="1"/>
  <c r="I227" i="3"/>
  <c r="C227" i="3"/>
  <c r="E227" i="3" s="1"/>
  <c r="O7" i="3"/>
  <c r="P7" i="3" s="1"/>
  <c r="C112" i="3"/>
  <c r="E112" i="3" s="1"/>
  <c r="H112" i="3"/>
  <c r="N227" i="3"/>
  <c r="G220" i="3"/>
  <c r="H227" i="3"/>
  <c r="N124" i="3"/>
  <c r="H291" i="3"/>
  <c r="J291" i="3" s="1"/>
  <c r="I220" i="3"/>
  <c r="O150" i="3"/>
  <c r="P150" i="3" s="1"/>
  <c r="N205" i="3"/>
  <c r="N291" i="3"/>
  <c r="O205" i="3"/>
  <c r="P205" i="3" s="1"/>
  <c r="O276" i="3"/>
  <c r="P276" i="3" s="1"/>
  <c r="D291" i="3"/>
  <c r="O291" i="3"/>
  <c r="P291" i="3" s="1"/>
  <c r="N220" i="3"/>
  <c r="O227" i="3"/>
  <c r="P227" i="3" s="1"/>
  <c r="I112" i="3"/>
  <c r="N112" i="3"/>
  <c r="O112" i="3"/>
  <c r="P112" i="3" s="1"/>
  <c r="N204" i="3"/>
  <c r="C189" i="3"/>
  <c r="E189" i="3" s="1"/>
  <c r="N175" i="3"/>
  <c r="H175" i="3"/>
  <c r="J175" i="3" s="1"/>
  <c r="B204" i="3"/>
  <c r="D204" i="3" s="1"/>
  <c r="B220" i="3"/>
  <c r="C220" i="3"/>
  <c r="E220" i="3" s="1"/>
  <c r="H220" i="3"/>
  <c r="G189" i="3"/>
  <c r="B175" i="3"/>
  <c r="D175" i="3" s="1"/>
  <c r="O175" i="3"/>
  <c r="P175" i="3" s="1"/>
  <c r="G175" i="3"/>
  <c r="L175" i="3" s="1"/>
  <c r="K204" i="3"/>
  <c r="L124" i="3"/>
  <c r="I175" i="3"/>
  <c r="K175" i="3" s="1"/>
  <c r="L205" i="3"/>
  <c r="K276" i="3"/>
  <c r="K291" i="3"/>
  <c r="K150" i="3"/>
  <c r="E205" i="3"/>
  <c r="F124" i="3"/>
  <c r="J205" i="3"/>
  <c r="E291" i="3"/>
  <c r="F276" i="3"/>
  <c r="E150" i="3"/>
  <c r="F150" i="3"/>
  <c r="K124" i="3"/>
  <c r="F204" i="3"/>
  <c r="J204" i="3"/>
  <c r="L204" i="3"/>
  <c r="B189" i="3"/>
  <c r="I189" i="3"/>
  <c r="F189" i="3" s="1"/>
  <c r="N189" i="3"/>
  <c r="O189" i="3"/>
  <c r="P189" i="3" s="1"/>
  <c r="H33" i="3"/>
  <c r="G80" i="3"/>
  <c r="L80" i="3" s="1"/>
  <c r="O80" i="3"/>
  <c r="P80" i="3" s="1"/>
  <c r="B213" i="3"/>
  <c r="E175" i="3"/>
  <c r="O274" i="3"/>
  <c r="P274" i="3" s="1"/>
  <c r="N80" i="3"/>
  <c r="B28" i="3"/>
  <c r="I58" i="3"/>
  <c r="I80" i="3"/>
  <c r="K80" i="3" s="1"/>
  <c r="H80" i="3"/>
  <c r="B80" i="3"/>
  <c r="D80" i="3" s="1"/>
  <c r="C140" i="3"/>
  <c r="E140" i="3" s="1"/>
  <c r="G140" i="3"/>
  <c r="N274" i="3"/>
  <c r="G58" i="3"/>
  <c r="I274" i="3"/>
  <c r="H274" i="3"/>
  <c r="G274" i="3"/>
  <c r="E80" i="3"/>
  <c r="C274" i="3"/>
  <c r="E274" i="3" s="1"/>
  <c r="C36" i="3"/>
  <c r="H140" i="3"/>
  <c r="G36" i="3"/>
  <c r="I140" i="3"/>
  <c r="B140" i="3"/>
  <c r="O140" i="3"/>
  <c r="P140" i="3" s="1"/>
  <c r="H36" i="3"/>
  <c r="B173" i="3"/>
  <c r="C28" i="3"/>
  <c r="E28" i="3" s="1"/>
  <c r="B33" i="3"/>
  <c r="B191" i="3"/>
  <c r="B132" i="3"/>
  <c r="G28" i="3"/>
  <c r="I240" i="3"/>
  <c r="I36" i="3"/>
  <c r="G33" i="3"/>
  <c r="I191" i="3"/>
  <c r="C33" i="3"/>
  <c r="E33" i="3" s="1"/>
  <c r="I271" i="3"/>
  <c r="C160" i="3"/>
  <c r="E160" i="3" s="1"/>
  <c r="G271" i="3"/>
  <c r="I106" i="3"/>
  <c r="H271" i="3"/>
  <c r="N132" i="3"/>
  <c r="C271" i="3"/>
  <c r="E271" i="3" s="1"/>
  <c r="B271" i="3"/>
  <c r="I244" i="3"/>
  <c r="B54" i="3"/>
  <c r="N42" i="3"/>
  <c r="H77" i="3"/>
  <c r="B77" i="3"/>
  <c r="O271" i="3"/>
  <c r="P271" i="3" s="1"/>
  <c r="C54" i="3"/>
  <c r="E54" i="3" s="1"/>
  <c r="G94" i="3"/>
  <c r="N244" i="3"/>
  <c r="H2" i="3"/>
  <c r="O54" i="3"/>
  <c r="P54" i="3" s="1"/>
  <c r="B36" i="3"/>
  <c r="O36" i="3"/>
  <c r="P36" i="3" s="1"/>
  <c r="C58" i="3"/>
  <c r="E58" i="3" s="1"/>
  <c r="N253" i="3"/>
  <c r="B244" i="3"/>
  <c r="G237" i="3"/>
  <c r="O237" i="3"/>
  <c r="P237" i="3" s="1"/>
  <c r="I237" i="3"/>
  <c r="O33" i="3"/>
  <c r="P33" i="3" s="1"/>
  <c r="I144" i="3"/>
  <c r="I200" i="3"/>
  <c r="C237" i="3"/>
  <c r="E237" i="3" s="1"/>
  <c r="O50" i="3"/>
  <c r="P50" i="3" s="1"/>
  <c r="H42" i="3"/>
  <c r="G144" i="3"/>
  <c r="H200" i="3"/>
  <c r="B237" i="3"/>
  <c r="N50" i="3"/>
  <c r="G42" i="3"/>
  <c r="H55" i="3"/>
  <c r="G200" i="3"/>
  <c r="I50" i="3"/>
  <c r="C7" i="3"/>
  <c r="E7" i="3" s="1"/>
  <c r="C42" i="3"/>
  <c r="E42" i="3" s="1"/>
  <c r="C200" i="3"/>
  <c r="E200" i="3" s="1"/>
  <c r="H50" i="3"/>
  <c r="G7" i="3"/>
  <c r="C244" i="3"/>
  <c r="E244" i="3" s="1"/>
  <c r="I286" i="3"/>
  <c r="B42" i="3"/>
  <c r="H286" i="3"/>
  <c r="B200" i="3"/>
  <c r="G50" i="3"/>
  <c r="H7" i="3"/>
  <c r="F7" i="3" s="1"/>
  <c r="H132" i="3"/>
  <c r="H54" i="3"/>
  <c r="C50" i="3"/>
  <c r="E50" i="3" s="1"/>
  <c r="G132" i="3"/>
  <c r="G54" i="3"/>
  <c r="I33" i="3"/>
  <c r="C106" i="3"/>
  <c r="E106" i="3" s="1"/>
  <c r="N192" i="3"/>
  <c r="B192" i="3"/>
  <c r="I2" i="3"/>
  <c r="B6" i="3"/>
  <c r="G91" i="3"/>
  <c r="I8" i="3"/>
  <c r="H244" i="3"/>
  <c r="B62" i="3"/>
  <c r="I69" i="3"/>
  <c r="I95" i="3"/>
  <c r="N62" i="3"/>
  <c r="B69" i="3"/>
  <c r="I217" i="3"/>
  <c r="I284" i="3"/>
  <c r="B18" i="3"/>
  <c r="O4" i="3"/>
  <c r="P4" i="3" s="1"/>
  <c r="H145" i="3"/>
  <c r="C217" i="3"/>
  <c r="E217" i="3" s="1"/>
  <c r="O244" i="3"/>
  <c r="P244" i="3" s="1"/>
  <c r="B168" i="3"/>
  <c r="C77" i="3"/>
  <c r="E77" i="3" s="1"/>
  <c r="C35" i="3"/>
  <c r="E35" i="3" s="1"/>
  <c r="H10" i="3"/>
  <c r="C10" i="3"/>
  <c r="E10" i="3" s="1"/>
  <c r="B10" i="3"/>
  <c r="I267" i="3"/>
  <c r="I42" i="3"/>
  <c r="I89" i="3"/>
  <c r="F89" i="3" s="1"/>
  <c r="O149" i="3"/>
  <c r="P149" i="3" s="1"/>
  <c r="C284" i="3"/>
  <c r="E284" i="3" s="1"/>
  <c r="I165" i="3"/>
  <c r="F165" i="3" s="1"/>
  <c r="C69" i="3"/>
  <c r="E69" i="3" s="1"/>
  <c r="I77" i="3"/>
  <c r="C127" i="3"/>
  <c r="E127" i="3" s="1"/>
  <c r="O44" i="3"/>
  <c r="P44" i="3" s="1"/>
  <c r="B81" i="3"/>
  <c r="I149" i="3"/>
  <c r="G286" i="3"/>
  <c r="O15" i="3"/>
  <c r="P15" i="3" s="1"/>
  <c r="G81" i="3"/>
  <c r="B286" i="3"/>
  <c r="H149" i="3"/>
  <c r="G149" i="3"/>
  <c r="G15" i="3"/>
  <c r="G253" i="3"/>
  <c r="N65" i="3"/>
  <c r="I15" i="3"/>
  <c r="I253" i="3"/>
  <c r="C149" i="3"/>
  <c r="E149" i="3" s="1"/>
  <c r="B149" i="3"/>
  <c r="C15" i="3"/>
  <c r="E15" i="3" s="1"/>
  <c r="G143" i="3"/>
  <c r="C253" i="3"/>
  <c r="E253" i="3" s="1"/>
  <c r="N77" i="3"/>
  <c r="G236" i="3"/>
  <c r="H15" i="3"/>
  <c r="B15" i="3"/>
  <c r="I110" i="3"/>
  <c r="B253" i="3"/>
  <c r="O236" i="3"/>
  <c r="P236" i="3" s="1"/>
  <c r="B44" i="3"/>
  <c r="G8" i="3"/>
  <c r="G77" i="3"/>
  <c r="C226" i="3"/>
  <c r="E226" i="3" s="1"/>
  <c r="I272" i="3"/>
  <c r="B226" i="3"/>
  <c r="H272" i="3"/>
  <c r="G272" i="3"/>
  <c r="B272" i="3"/>
  <c r="N104" i="3"/>
  <c r="I61" i="3"/>
  <c r="N61" i="3"/>
  <c r="I104" i="3"/>
  <c r="H61" i="3"/>
  <c r="O226" i="3"/>
  <c r="P226" i="3" s="1"/>
  <c r="H104" i="3"/>
  <c r="C61" i="3"/>
  <c r="E61" i="3" s="1"/>
  <c r="N226" i="3"/>
  <c r="G104" i="3"/>
  <c r="B61" i="3"/>
  <c r="I18" i="3"/>
  <c r="F18" i="3" s="1"/>
  <c r="G18" i="3"/>
  <c r="C104" i="3"/>
  <c r="E104" i="3" s="1"/>
  <c r="C18" i="3"/>
  <c r="E18" i="3" s="1"/>
  <c r="I226" i="3"/>
  <c r="O18" i="3"/>
  <c r="P18" i="3" s="1"/>
  <c r="H226" i="3"/>
  <c r="I178" i="3"/>
  <c r="C95" i="3"/>
  <c r="E95" i="3" s="1"/>
  <c r="B17" i="3"/>
  <c r="I148" i="3"/>
  <c r="O79" i="3"/>
  <c r="P79" i="3" s="1"/>
  <c r="O179" i="3"/>
  <c r="P179" i="3" s="1"/>
  <c r="H179" i="3"/>
  <c r="G179" i="3"/>
  <c r="I179" i="3"/>
  <c r="N179" i="3"/>
  <c r="C2" i="3"/>
  <c r="E2" i="3" s="1"/>
  <c r="N18" i="3"/>
  <c r="O81" i="3"/>
  <c r="P81" i="3" s="1"/>
  <c r="B2" i="3"/>
  <c r="C144" i="3"/>
  <c r="E144" i="3" s="1"/>
  <c r="I54" i="3"/>
  <c r="C272" i="3"/>
  <c r="E272" i="3" s="1"/>
  <c r="C179" i="3"/>
  <c r="E179" i="3" s="1"/>
  <c r="G61" i="3"/>
  <c r="H253" i="3"/>
  <c r="G57" i="3"/>
  <c r="I62" i="3"/>
  <c r="N122" i="3"/>
  <c r="N22" i="3"/>
  <c r="I250" i="3"/>
  <c r="H62" i="3"/>
  <c r="H129" i="3"/>
  <c r="B104" i="3"/>
  <c r="G110" i="3"/>
  <c r="I34" i="3"/>
  <c r="G62" i="3"/>
  <c r="O241" i="3"/>
  <c r="P241" i="3" s="1"/>
  <c r="H168" i="3"/>
  <c r="C34" i="3"/>
  <c r="E34" i="3" s="1"/>
  <c r="C62" i="3"/>
  <c r="E62" i="3" s="1"/>
  <c r="H8" i="3"/>
  <c r="G129" i="3"/>
  <c r="G10" i="3"/>
  <c r="H110" i="3"/>
  <c r="C94" i="3"/>
  <c r="E94" i="3" s="1"/>
  <c r="B34" i="3"/>
  <c r="B95" i="3"/>
  <c r="B217" i="3"/>
  <c r="C81" i="3"/>
  <c r="E81" i="3" s="1"/>
  <c r="I119" i="3"/>
  <c r="O122" i="3"/>
  <c r="P122" i="3" s="1"/>
  <c r="N79" i="3"/>
  <c r="G6" i="3"/>
  <c r="B8" i="3"/>
  <c r="I122" i="3"/>
  <c r="H144" i="3"/>
  <c r="G29" i="3"/>
  <c r="B110" i="3"/>
  <c r="H79" i="3"/>
  <c r="H22" i="3"/>
  <c r="H58" i="3"/>
  <c r="H148" i="3"/>
  <c r="O144" i="3"/>
  <c r="P144" i="3" s="1"/>
  <c r="O95" i="3"/>
  <c r="P95" i="3" s="1"/>
  <c r="I4" i="3"/>
  <c r="O216" i="3"/>
  <c r="P216" i="3" s="1"/>
  <c r="C129" i="3"/>
  <c r="E129" i="3" s="1"/>
  <c r="G79" i="3"/>
  <c r="I97" i="3"/>
  <c r="N236" i="3"/>
  <c r="H122" i="3"/>
  <c r="N95" i="3"/>
  <c r="H65" i="3"/>
  <c r="C22" i="3"/>
  <c r="E22" i="3" s="1"/>
  <c r="I216" i="3"/>
  <c r="N2" i="3"/>
  <c r="C122" i="3"/>
  <c r="E122" i="3" s="1"/>
  <c r="B144" i="3"/>
  <c r="H21" i="3"/>
  <c r="F21" i="3" s="1"/>
  <c r="N10" i="3"/>
  <c r="B119" i="3"/>
  <c r="C8" i="3"/>
  <c r="E8" i="3" s="1"/>
  <c r="B129" i="3"/>
  <c r="I65" i="3"/>
  <c r="G122" i="3"/>
  <c r="N284" i="3"/>
  <c r="G65" i="3"/>
  <c r="B22" i="3"/>
  <c r="H216" i="3"/>
  <c r="J216" i="3" s="1"/>
  <c r="O284" i="3"/>
  <c r="P284" i="3" s="1"/>
  <c r="C65" i="3"/>
  <c r="E65" i="3" s="1"/>
  <c r="I28" i="3"/>
  <c r="I236" i="3"/>
  <c r="I143" i="3"/>
  <c r="I91" i="3"/>
  <c r="O286" i="3"/>
  <c r="P286" i="3" s="1"/>
  <c r="O217" i="3"/>
  <c r="P217" i="3" s="1"/>
  <c r="C110" i="3"/>
  <c r="E110" i="3" s="1"/>
  <c r="I79" i="3"/>
  <c r="I22" i="3"/>
  <c r="H4" i="3"/>
  <c r="G22" i="3"/>
  <c r="C79" i="3"/>
  <c r="E79" i="3" s="1"/>
  <c r="N216" i="3"/>
  <c r="H191" i="3"/>
  <c r="H192" i="3"/>
  <c r="G216" i="3"/>
  <c r="L216" i="3" s="1"/>
  <c r="N143" i="3"/>
  <c r="G191" i="3"/>
  <c r="C132" i="3"/>
  <c r="E132" i="3" s="1"/>
  <c r="I168" i="3"/>
  <c r="C286" i="3"/>
  <c r="E286" i="3" s="1"/>
  <c r="B65" i="3"/>
  <c r="H28" i="3"/>
  <c r="H236" i="3"/>
  <c r="H143" i="3"/>
  <c r="H91" i="3"/>
  <c r="G192" i="3"/>
  <c r="L192" i="3" s="1"/>
  <c r="B216" i="3"/>
  <c r="D216" i="3" s="1"/>
  <c r="H237" i="3"/>
  <c r="N217" i="3"/>
  <c r="C236" i="3"/>
  <c r="E236" i="3" s="1"/>
  <c r="C143" i="3"/>
  <c r="E143" i="3" s="1"/>
  <c r="C91" i="3"/>
  <c r="E91" i="3" s="1"/>
  <c r="H69" i="3"/>
  <c r="G168" i="3"/>
  <c r="G5" i="3"/>
  <c r="H284" i="3"/>
  <c r="N110" i="3"/>
  <c r="N81" i="3"/>
  <c r="G69" i="3"/>
  <c r="C168" i="3"/>
  <c r="E168" i="3" s="1"/>
  <c r="B143" i="3"/>
  <c r="B91" i="3"/>
  <c r="G284" i="3"/>
  <c r="H34" i="3"/>
  <c r="H95" i="3"/>
  <c r="H217" i="3"/>
  <c r="I81" i="3"/>
  <c r="F81" i="3" s="1"/>
  <c r="G2" i="3"/>
  <c r="I129" i="3"/>
  <c r="I10" i="3"/>
  <c r="H94" i="3"/>
  <c r="G34" i="3"/>
  <c r="N34" i="3"/>
  <c r="B94" i="3"/>
  <c r="C267" i="3"/>
  <c r="E267" i="3" s="1"/>
  <c r="I163" i="3"/>
  <c r="H240" i="3"/>
  <c r="C241" i="3"/>
  <c r="E241" i="3" s="1"/>
  <c r="I160" i="3"/>
  <c r="O200" i="3"/>
  <c r="P200" i="3" s="1"/>
  <c r="N119" i="3"/>
  <c r="H163" i="3"/>
  <c r="G240" i="3"/>
  <c r="I164" i="3"/>
  <c r="B58" i="3"/>
  <c r="H160" i="3"/>
  <c r="O58" i="3"/>
  <c r="P58" i="3" s="1"/>
  <c r="C163" i="3"/>
  <c r="E163" i="3" s="1"/>
  <c r="B240" i="3"/>
  <c r="I84" i="3"/>
  <c r="G160" i="3"/>
  <c r="O106" i="3"/>
  <c r="P106" i="3" s="1"/>
  <c r="B163" i="3"/>
  <c r="I49" i="3"/>
  <c r="G198" i="3"/>
  <c r="C49" i="3"/>
  <c r="E49" i="3" s="1"/>
  <c r="B49" i="3"/>
  <c r="N160" i="3"/>
  <c r="I94" i="3"/>
  <c r="C119" i="3"/>
  <c r="E119" i="3" s="1"/>
  <c r="N163" i="3"/>
  <c r="H214" i="3"/>
  <c r="H267" i="3"/>
  <c r="O126" i="3"/>
  <c r="P126" i="3" s="1"/>
  <c r="C29" i="3"/>
  <c r="E29" i="3" s="1"/>
  <c r="B267" i="3"/>
  <c r="I126" i="3"/>
  <c r="N126" i="3"/>
  <c r="B29" i="3"/>
  <c r="H126" i="3"/>
  <c r="O267" i="3"/>
  <c r="P267" i="3" s="1"/>
  <c r="I53" i="3"/>
  <c r="G126" i="3"/>
  <c r="O12" i="3"/>
  <c r="P12" i="3" s="1"/>
  <c r="C126" i="3"/>
  <c r="E126" i="3" s="1"/>
  <c r="N12" i="3"/>
  <c r="N154" i="3"/>
  <c r="N63" i="3"/>
  <c r="O29" i="3"/>
  <c r="P29" i="3" s="1"/>
  <c r="I154" i="3"/>
  <c r="G154" i="3"/>
  <c r="H250" i="3"/>
  <c r="O214" i="3"/>
  <c r="P214" i="3" s="1"/>
  <c r="O250" i="3"/>
  <c r="P250" i="3" s="1"/>
  <c r="N198" i="3"/>
  <c r="G26" i="3"/>
  <c r="N214" i="3"/>
  <c r="N96" i="3"/>
  <c r="O198" i="3"/>
  <c r="P198" i="3" s="1"/>
  <c r="H154" i="3"/>
  <c r="C154" i="3"/>
  <c r="E154" i="3" s="1"/>
  <c r="G250" i="3"/>
  <c r="C250" i="3"/>
  <c r="E250" i="3" s="1"/>
  <c r="I214" i="3"/>
  <c r="B250" i="3"/>
  <c r="I192" i="3"/>
  <c r="K192" i="3" s="1"/>
  <c r="I12" i="3"/>
  <c r="I176" i="3"/>
  <c r="C214" i="3"/>
  <c r="E214" i="3" s="1"/>
  <c r="H176" i="3"/>
  <c r="H12" i="3"/>
  <c r="N252" i="3"/>
  <c r="O176" i="3"/>
  <c r="P176" i="3" s="1"/>
  <c r="B214" i="3"/>
  <c r="G252" i="3"/>
  <c r="G176" i="3"/>
  <c r="G12" i="3"/>
  <c r="N176" i="3"/>
  <c r="I198" i="3"/>
  <c r="F198" i="3" s="1"/>
  <c r="I29" i="3"/>
  <c r="C176" i="3"/>
  <c r="E176" i="3" s="1"/>
  <c r="C12" i="3"/>
  <c r="E12" i="3" s="1"/>
  <c r="C198" i="3"/>
  <c r="E198" i="3" s="1"/>
  <c r="H29" i="3"/>
  <c r="G267" i="3"/>
  <c r="C264" i="3"/>
  <c r="E264" i="3" s="1"/>
  <c r="H164" i="3"/>
  <c r="H178" i="3"/>
  <c r="C53" i="3"/>
  <c r="E53" i="3" s="1"/>
  <c r="G178" i="3"/>
  <c r="G164" i="3"/>
  <c r="O178" i="3"/>
  <c r="P178" i="3" s="1"/>
  <c r="C178" i="3"/>
  <c r="E178" i="3" s="1"/>
  <c r="C164" i="3"/>
  <c r="E164" i="3" s="1"/>
  <c r="N178" i="3"/>
  <c r="N264" i="3"/>
  <c r="O46" i="3"/>
  <c r="P46" i="3" s="1"/>
  <c r="I177" i="3"/>
  <c r="B164" i="3"/>
  <c r="N46" i="3"/>
  <c r="H177" i="3"/>
  <c r="I88" i="3"/>
  <c r="G19" i="3"/>
  <c r="H88" i="3"/>
  <c r="H170" i="3"/>
  <c r="F170" i="3" s="1"/>
  <c r="G177" i="3"/>
  <c r="C177" i="3"/>
  <c r="E177" i="3" s="1"/>
  <c r="I264" i="3"/>
  <c r="G88" i="3"/>
  <c r="G170" i="3"/>
  <c r="I19" i="3"/>
  <c r="B177" i="3"/>
  <c r="H225" i="3"/>
  <c r="H264" i="3"/>
  <c r="C88" i="3"/>
  <c r="E88" i="3" s="1"/>
  <c r="C170" i="3"/>
  <c r="E170" i="3" s="1"/>
  <c r="H46" i="3"/>
  <c r="J46" i="3" s="1"/>
  <c r="O100" i="3"/>
  <c r="P100" i="3" s="1"/>
  <c r="N52" i="3"/>
  <c r="C225" i="3"/>
  <c r="E225" i="3" s="1"/>
  <c r="G264" i="3"/>
  <c r="B88" i="3"/>
  <c r="B170" i="3"/>
  <c r="G46" i="3"/>
  <c r="L46" i="3" s="1"/>
  <c r="O170" i="3"/>
  <c r="P170" i="3" s="1"/>
  <c r="O19" i="3"/>
  <c r="P19" i="3" s="1"/>
  <c r="B46" i="3"/>
  <c r="D46" i="3" s="1"/>
  <c r="O88" i="3"/>
  <c r="P88" i="3" s="1"/>
  <c r="N170" i="3"/>
  <c r="B264" i="3"/>
  <c r="O192" i="3"/>
  <c r="P192" i="3" s="1"/>
  <c r="B287" i="3"/>
  <c r="C287" i="3"/>
  <c r="E287" i="3" s="1"/>
  <c r="G287" i="3"/>
  <c r="H287" i="3"/>
  <c r="I287" i="3"/>
  <c r="N287" i="3"/>
  <c r="O287" i="3"/>
  <c r="P287" i="3" s="1"/>
  <c r="N164" i="3"/>
  <c r="C68" i="3"/>
  <c r="E68" i="3" s="1"/>
  <c r="H68" i="3"/>
  <c r="O53" i="3"/>
  <c r="P53" i="3" s="1"/>
  <c r="H53" i="3"/>
  <c r="B53" i="3"/>
  <c r="H17" i="3"/>
  <c r="N68" i="3"/>
  <c r="N53" i="3"/>
  <c r="B76" i="3"/>
  <c r="C76" i="3"/>
  <c r="E76" i="3" s="1"/>
  <c r="G76" i="3"/>
  <c r="H76" i="3"/>
  <c r="I76" i="3"/>
  <c r="N76" i="3"/>
  <c r="O76" i="3"/>
  <c r="P76" i="3" s="1"/>
  <c r="O156" i="3"/>
  <c r="P156" i="3" s="1"/>
  <c r="C97" i="3"/>
  <c r="E97" i="3" s="1"/>
  <c r="H156" i="3"/>
  <c r="N97" i="3"/>
  <c r="I68" i="3"/>
  <c r="G97" i="3"/>
  <c r="B68" i="3"/>
  <c r="B156" i="3"/>
  <c r="O97" i="3"/>
  <c r="P97" i="3" s="1"/>
  <c r="H97" i="3"/>
  <c r="G68" i="3"/>
  <c r="B288" i="3"/>
  <c r="C288" i="3"/>
  <c r="E288" i="3" s="1"/>
  <c r="G288" i="3"/>
  <c r="H288" i="3"/>
  <c r="I288" i="3"/>
  <c r="N288" i="3"/>
  <c r="O288" i="3"/>
  <c r="P288" i="3" s="1"/>
  <c r="I156" i="3"/>
  <c r="C156" i="3"/>
  <c r="E156" i="3" s="1"/>
  <c r="C219" i="3"/>
  <c r="E219" i="3" s="1"/>
  <c r="I219" i="3"/>
  <c r="G219" i="3"/>
  <c r="N219" i="3"/>
  <c r="B219" i="3"/>
  <c r="H219" i="3"/>
  <c r="O219" i="3"/>
  <c r="P219" i="3" s="1"/>
  <c r="N156" i="3"/>
  <c r="B75" i="3"/>
  <c r="H75" i="3"/>
  <c r="O75" i="3"/>
  <c r="P75" i="3" s="1"/>
  <c r="C75" i="3"/>
  <c r="E75" i="3" s="1"/>
  <c r="I75" i="3"/>
  <c r="G75" i="3"/>
  <c r="N75" i="3"/>
  <c r="B85" i="3"/>
  <c r="H85" i="3"/>
  <c r="O85" i="3"/>
  <c r="P85" i="3" s="1"/>
  <c r="C85" i="3"/>
  <c r="E85" i="3" s="1"/>
  <c r="I85" i="3"/>
  <c r="G85" i="3"/>
  <c r="N85" i="3"/>
  <c r="B134" i="3"/>
  <c r="C134" i="3"/>
  <c r="E134" i="3" s="1"/>
  <c r="G134" i="3"/>
  <c r="H134" i="3"/>
  <c r="I134" i="3"/>
  <c r="N134" i="3"/>
  <c r="O134" i="3"/>
  <c r="P134" i="3" s="1"/>
  <c r="B70" i="3"/>
  <c r="C70" i="3"/>
  <c r="E70" i="3" s="1"/>
  <c r="G70" i="3"/>
  <c r="H70" i="3"/>
  <c r="I70" i="3"/>
  <c r="N70" i="3"/>
  <c r="O70" i="3"/>
  <c r="P70" i="3" s="1"/>
  <c r="B289" i="3"/>
  <c r="C289" i="3"/>
  <c r="E289" i="3" s="1"/>
  <c r="G289" i="3"/>
  <c r="H289" i="3"/>
  <c r="I289" i="3"/>
  <c r="N289" i="3"/>
  <c r="O289" i="3"/>
  <c r="P289" i="3" s="1"/>
  <c r="B269" i="3"/>
  <c r="C269" i="3"/>
  <c r="E269" i="3" s="1"/>
  <c r="G269" i="3"/>
  <c r="H269" i="3"/>
  <c r="I269" i="3"/>
  <c r="N269" i="3"/>
  <c r="O269" i="3"/>
  <c r="P269" i="3" s="1"/>
  <c r="B215" i="3"/>
  <c r="C215" i="3"/>
  <c r="E215" i="3" s="1"/>
  <c r="G215" i="3"/>
  <c r="H215" i="3"/>
  <c r="I215" i="3"/>
  <c r="N215" i="3"/>
  <c r="O215" i="3"/>
  <c r="P215" i="3" s="1"/>
  <c r="B201" i="3"/>
  <c r="C201" i="3"/>
  <c r="E201" i="3" s="1"/>
  <c r="G201" i="3"/>
  <c r="H201" i="3"/>
  <c r="I201" i="3"/>
  <c r="N201" i="3"/>
  <c r="O201" i="3"/>
  <c r="P201" i="3" s="1"/>
  <c r="B183" i="3"/>
  <c r="C183" i="3"/>
  <c r="E183" i="3" s="1"/>
  <c r="G183" i="3"/>
  <c r="H183" i="3"/>
  <c r="I183" i="3"/>
  <c r="N183" i="3"/>
  <c r="O183" i="3"/>
  <c r="P183" i="3" s="1"/>
  <c r="B102" i="3"/>
  <c r="C102" i="3"/>
  <c r="E102" i="3" s="1"/>
  <c r="G102" i="3"/>
  <c r="H102" i="3"/>
  <c r="I102" i="3"/>
  <c r="N102" i="3"/>
  <c r="O102" i="3"/>
  <c r="P102" i="3" s="1"/>
  <c r="B48" i="3"/>
  <c r="C48" i="3"/>
  <c r="E48" i="3" s="1"/>
  <c r="G48" i="3"/>
  <c r="H48" i="3"/>
  <c r="I48" i="3"/>
  <c r="N48" i="3"/>
  <c r="O48" i="3"/>
  <c r="P48" i="3" s="1"/>
  <c r="B39" i="3"/>
  <c r="C39" i="3"/>
  <c r="E39" i="3" s="1"/>
  <c r="G39" i="3"/>
  <c r="H39" i="3"/>
  <c r="I39" i="3"/>
  <c r="N39" i="3"/>
  <c r="O39" i="3"/>
  <c r="P39" i="3" s="1"/>
  <c r="B111" i="3"/>
  <c r="C111" i="3"/>
  <c r="E111" i="3" s="1"/>
  <c r="G111" i="3"/>
  <c r="H111" i="3"/>
  <c r="I111" i="3"/>
  <c r="N111" i="3"/>
  <c r="O111" i="3"/>
  <c r="P111" i="3" s="1"/>
  <c r="B270" i="3"/>
  <c r="C270" i="3"/>
  <c r="E270" i="3" s="1"/>
  <c r="G270" i="3"/>
  <c r="H270" i="3"/>
  <c r="I270" i="3"/>
  <c r="N270" i="3"/>
  <c r="O270" i="3"/>
  <c r="P270" i="3" s="1"/>
  <c r="B238" i="3"/>
  <c r="C238" i="3"/>
  <c r="E238" i="3" s="1"/>
  <c r="G238" i="3"/>
  <c r="H238" i="3"/>
  <c r="I238" i="3"/>
  <c r="N238" i="3"/>
  <c r="O238" i="3"/>
  <c r="P238" i="3" s="1"/>
  <c r="B40" i="3"/>
  <c r="C40" i="3"/>
  <c r="E40" i="3" s="1"/>
  <c r="G40" i="3"/>
  <c r="H40" i="3"/>
  <c r="I40" i="3"/>
  <c r="N40" i="3"/>
  <c r="O40" i="3"/>
  <c r="P40" i="3" s="1"/>
  <c r="B203" i="3"/>
  <c r="C203" i="3"/>
  <c r="E203" i="3" s="1"/>
  <c r="G203" i="3"/>
  <c r="H203" i="3"/>
  <c r="I203" i="3"/>
  <c r="N203" i="3"/>
  <c r="O203" i="3"/>
  <c r="P203" i="3" s="1"/>
  <c r="G17" i="3"/>
  <c r="C265" i="3"/>
  <c r="E265" i="3" s="1"/>
  <c r="O69" i="3"/>
  <c r="P69" i="3" s="1"/>
  <c r="I17" i="3"/>
  <c r="C17" i="3"/>
  <c r="E17" i="3" s="1"/>
  <c r="G125" i="3"/>
  <c r="N125" i="3"/>
  <c r="C125" i="3"/>
  <c r="E125" i="3" s="1"/>
  <c r="I125" i="3"/>
  <c r="H255" i="3"/>
  <c r="O125" i="3"/>
  <c r="P125" i="3" s="1"/>
  <c r="H125" i="3"/>
  <c r="O255" i="3"/>
  <c r="P255" i="3" s="1"/>
  <c r="C255" i="3"/>
  <c r="E255" i="3" s="1"/>
  <c r="N255" i="3"/>
  <c r="B147" i="3"/>
  <c r="C147" i="3"/>
  <c r="E147" i="3" s="1"/>
  <c r="G147" i="3"/>
  <c r="H147" i="3"/>
  <c r="I147" i="3"/>
  <c r="N147" i="3"/>
  <c r="O147" i="3"/>
  <c r="P147" i="3" s="1"/>
  <c r="G255" i="3"/>
  <c r="I255" i="3"/>
  <c r="B268" i="3"/>
  <c r="C268" i="3"/>
  <c r="E268" i="3" s="1"/>
  <c r="G268" i="3"/>
  <c r="H268" i="3"/>
  <c r="I268" i="3"/>
  <c r="N268" i="3"/>
  <c r="O268" i="3"/>
  <c r="P268" i="3" s="1"/>
  <c r="B242" i="3"/>
  <c r="C242" i="3"/>
  <c r="E242" i="3" s="1"/>
  <c r="G242" i="3"/>
  <c r="H242" i="3"/>
  <c r="I242" i="3"/>
  <c r="N242" i="3"/>
  <c r="O242" i="3"/>
  <c r="P242" i="3" s="1"/>
  <c r="B67" i="3"/>
  <c r="C67" i="3"/>
  <c r="E67" i="3" s="1"/>
  <c r="G67" i="3"/>
  <c r="H67" i="3"/>
  <c r="I67" i="3"/>
  <c r="N67" i="3"/>
  <c r="O67" i="3"/>
  <c r="P67" i="3" s="1"/>
  <c r="B45" i="3"/>
  <c r="C45" i="3"/>
  <c r="E45" i="3" s="1"/>
  <c r="G45" i="3"/>
  <c r="H45" i="3"/>
  <c r="I45" i="3"/>
  <c r="N45" i="3"/>
  <c r="O45" i="3"/>
  <c r="P45" i="3" s="1"/>
  <c r="B290" i="3"/>
  <c r="C290" i="3"/>
  <c r="E290" i="3" s="1"/>
  <c r="G290" i="3"/>
  <c r="H290" i="3"/>
  <c r="I290" i="3"/>
  <c r="N290" i="3"/>
  <c r="O290" i="3"/>
  <c r="P290" i="3" s="1"/>
  <c r="B266" i="3"/>
  <c r="C266" i="3"/>
  <c r="E266" i="3" s="1"/>
  <c r="G266" i="3"/>
  <c r="H266" i="3"/>
  <c r="I266" i="3"/>
  <c r="N266" i="3"/>
  <c r="O266" i="3"/>
  <c r="P266" i="3" s="1"/>
  <c r="B199" i="3"/>
  <c r="C199" i="3"/>
  <c r="E199" i="3" s="1"/>
  <c r="G199" i="3"/>
  <c r="H199" i="3"/>
  <c r="I199" i="3"/>
  <c r="N199" i="3"/>
  <c r="O199" i="3"/>
  <c r="P199" i="3" s="1"/>
  <c r="B51" i="3"/>
  <c r="C51" i="3"/>
  <c r="E51" i="3" s="1"/>
  <c r="G51" i="3"/>
  <c r="H51" i="3"/>
  <c r="I51" i="3"/>
  <c r="N51" i="3"/>
  <c r="O51" i="3"/>
  <c r="P51" i="3" s="1"/>
  <c r="B180" i="3"/>
  <c r="C180" i="3"/>
  <c r="E180" i="3" s="1"/>
  <c r="G180" i="3"/>
  <c r="H180" i="3"/>
  <c r="I180" i="3"/>
  <c r="N180" i="3"/>
  <c r="O180" i="3"/>
  <c r="P180" i="3" s="1"/>
  <c r="B166" i="3"/>
  <c r="C166" i="3"/>
  <c r="E166" i="3" s="1"/>
  <c r="G166" i="3"/>
  <c r="H166" i="3"/>
  <c r="I166" i="3"/>
  <c r="N166" i="3"/>
  <c r="O166" i="3"/>
  <c r="P166" i="3" s="1"/>
  <c r="B43" i="3"/>
  <c r="C43" i="3"/>
  <c r="E43" i="3" s="1"/>
  <c r="G43" i="3"/>
  <c r="H43" i="3"/>
  <c r="I43" i="3"/>
  <c r="N43" i="3"/>
  <c r="O43" i="3"/>
  <c r="P43" i="3" s="1"/>
  <c r="B128" i="3"/>
  <c r="C128" i="3"/>
  <c r="E128" i="3" s="1"/>
  <c r="G128" i="3"/>
  <c r="H128" i="3"/>
  <c r="I128" i="3"/>
  <c r="N128" i="3"/>
  <c r="O128" i="3"/>
  <c r="P128" i="3" s="1"/>
  <c r="B275" i="3"/>
  <c r="C275" i="3"/>
  <c r="E275" i="3" s="1"/>
  <c r="G275" i="3"/>
  <c r="H275" i="3"/>
  <c r="I275" i="3"/>
  <c r="N275" i="3"/>
  <c r="O275" i="3"/>
  <c r="P275" i="3" s="1"/>
  <c r="B254" i="3"/>
  <c r="C254" i="3"/>
  <c r="E254" i="3" s="1"/>
  <c r="G254" i="3"/>
  <c r="H254" i="3"/>
  <c r="I254" i="3"/>
  <c r="N254" i="3"/>
  <c r="O254" i="3"/>
  <c r="P254" i="3" s="1"/>
  <c r="B239" i="3"/>
  <c r="C239" i="3"/>
  <c r="E239" i="3" s="1"/>
  <c r="G239" i="3"/>
  <c r="H239" i="3"/>
  <c r="I239" i="3"/>
  <c r="N239" i="3"/>
  <c r="O239" i="3"/>
  <c r="P239" i="3" s="1"/>
  <c r="B211" i="3"/>
  <c r="C211" i="3"/>
  <c r="E211" i="3" s="1"/>
  <c r="G211" i="3"/>
  <c r="H211" i="3"/>
  <c r="I211" i="3"/>
  <c r="N211" i="3"/>
  <c r="O211" i="3"/>
  <c r="P211" i="3" s="1"/>
  <c r="B197" i="3"/>
  <c r="C197" i="3"/>
  <c r="E197" i="3" s="1"/>
  <c r="G197" i="3"/>
  <c r="H197" i="3"/>
  <c r="I197" i="3"/>
  <c r="N197" i="3"/>
  <c r="O197" i="3"/>
  <c r="P197" i="3" s="1"/>
  <c r="B82" i="3"/>
  <c r="C82" i="3"/>
  <c r="E82" i="3" s="1"/>
  <c r="G82" i="3"/>
  <c r="H82" i="3"/>
  <c r="I82" i="3"/>
  <c r="N82" i="3"/>
  <c r="O82" i="3"/>
  <c r="P82" i="3" s="1"/>
  <c r="B105" i="3"/>
  <c r="C105" i="3"/>
  <c r="E105" i="3" s="1"/>
  <c r="G105" i="3"/>
  <c r="H105" i="3"/>
  <c r="I105" i="3"/>
  <c r="N105" i="3"/>
  <c r="O105" i="3"/>
  <c r="P105" i="3" s="1"/>
  <c r="B162" i="3"/>
  <c r="C162" i="3"/>
  <c r="E162" i="3" s="1"/>
  <c r="G162" i="3"/>
  <c r="H162" i="3"/>
  <c r="I162" i="3"/>
  <c r="N162" i="3"/>
  <c r="O162" i="3"/>
  <c r="P162" i="3" s="1"/>
  <c r="B32" i="3"/>
  <c r="C32" i="3"/>
  <c r="E32" i="3" s="1"/>
  <c r="G32" i="3"/>
  <c r="H32" i="3"/>
  <c r="I32" i="3"/>
  <c r="N32" i="3"/>
  <c r="O32" i="3"/>
  <c r="P32" i="3" s="1"/>
  <c r="B283" i="3"/>
  <c r="C283" i="3"/>
  <c r="E283" i="3" s="1"/>
  <c r="G283" i="3"/>
  <c r="H283" i="3"/>
  <c r="I283" i="3"/>
  <c r="N283" i="3"/>
  <c r="O283" i="3"/>
  <c r="P283" i="3" s="1"/>
  <c r="N17" i="3"/>
  <c r="C96" i="3"/>
  <c r="J96" i="3" s="1"/>
  <c r="G108" i="3"/>
  <c r="O129" i="3"/>
  <c r="P129" i="3" s="1"/>
  <c r="O25" i="3"/>
  <c r="P25" i="3" s="1"/>
  <c r="O96" i="3"/>
  <c r="P96" i="3" s="1"/>
  <c r="I25" i="3"/>
  <c r="O108" i="3"/>
  <c r="P108" i="3" s="1"/>
  <c r="O212" i="3"/>
  <c r="P212" i="3" s="1"/>
  <c r="B96" i="3"/>
  <c r="I96" i="3"/>
  <c r="F96" i="3" s="1"/>
  <c r="N108" i="3"/>
  <c r="N106" i="3"/>
  <c r="B265" i="3"/>
  <c r="O8" i="3"/>
  <c r="P8" i="3" s="1"/>
  <c r="N91" i="3"/>
  <c r="N49" i="3"/>
  <c r="O119" i="3"/>
  <c r="P119" i="3" s="1"/>
  <c r="G165" i="3"/>
  <c r="I9" i="3"/>
  <c r="H84" i="3"/>
  <c r="C84" i="3"/>
  <c r="E84" i="3" s="1"/>
  <c r="O66" i="3"/>
  <c r="P66" i="3" s="1"/>
  <c r="H9" i="3"/>
  <c r="B84" i="3"/>
  <c r="I184" i="3"/>
  <c r="N66" i="3"/>
  <c r="C9" i="3"/>
  <c r="E9" i="3" s="1"/>
  <c r="B9" i="3"/>
  <c r="I66" i="3"/>
  <c r="H184" i="3"/>
  <c r="O184" i="3"/>
  <c r="P184" i="3" s="1"/>
  <c r="I16" i="3"/>
  <c r="G184" i="3"/>
  <c r="N184" i="3"/>
  <c r="C184" i="3"/>
  <c r="E184" i="3" s="1"/>
  <c r="N25" i="3"/>
  <c r="H66" i="3"/>
  <c r="H16" i="3"/>
  <c r="G66" i="3"/>
  <c r="C191" i="3"/>
  <c r="E191" i="3" s="1"/>
  <c r="G16" i="3"/>
  <c r="C66" i="3"/>
  <c r="E66" i="3" s="1"/>
  <c r="O9" i="3"/>
  <c r="P9" i="3" s="1"/>
  <c r="I98" i="3"/>
  <c r="C16" i="3"/>
  <c r="E16" i="3" s="1"/>
  <c r="I103" i="3"/>
  <c r="N9" i="3"/>
  <c r="G84" i="3"/>
  <c r="H98" i="3"/>
  <c r="B16" i="3"/>
  <c r="C103" i="3"/>
  <c r="E103" i="3" s="1"/>
  <c r="O16" i="3"/>
  <c r="P16" i="3" s="1"/>
  <c r="G98" i="3"/>
  <c r="B103" i="3"/>
  <c r="N84" i="3"/>
  <c r="O191" i="3"/>
  <c r="P191" i="3" s="1"/>
  <c r="O240" i="3"/>
  <c r="P240" i="3" s="1"/>
  <c r="O49" i="3"/>
  <c r="P49" i="3" s="1"/>
  <c r="H25" i="3"/>
  <c r="G163" i="3"/>
  <c r="C240" i="3"/>
  <c r="E240" i="3" s="1"/>
  <c r="I212" i="3"/>
  <c r="K212" i="3" s="1"/>
  <c r="H202" i="3"/>
  <c r="H37" i="3"/>
  <c r="G103" i="3"/>
  <c r="I46" i="3"/>
  <c r="N37" i="3"/>
  <c r="N265" i="3"/>
  <c r="C4" i="3"/>
  <c r="E4" i="3" s="1"/>
  <c r="I63" i="3"/>
  <c r="N28" i="3"/>
  <c r="O177" i="3"/>
  <c r="P177" i="3" s="1"/>
  <c r="G37" i="3"/>
  <c r="C37" i="3"/>
  <c r="E37" i="3" s="1"/>
  <c r="H44" i="3"/>
  <c r="I127" i="3"/>
  <c r="B37" i="3"/>
  <c r="H127" i="3"/>
  <c r="J127" i="3" s="1"/>
  <c r="G127" i="3"/>
  <c r="L127" i="3" s="1"/>
  <c r="B160" i="3"/>
  <c r="I31" i="3"/>
  <c r="I116" i="3"/>
  <c r="B127" i="3"/>
  <c r="D127" i="3" s="1"/>
  <c r="H31" i="3"/>
  <c r="G116" i="3"/>
  <c r="I265" i="3"/>
  <c r="O168" i="3"/>
  <c r="P168" i="3" s="1"/>
  <c r="O94" i="3"/>
  <c r="P94" i="3" s="1"/>
  <c r="H119" i="3"/>
  <c r="H49" i="3"/>
  <c r="H265" i="3"/>
  <c r="O103" i="3"/>
  <c r="P103" i="3" s="1"/>
  <c r="B25" i="3"/>
  <c r="G31" i="3"/>
  <c r="C116" i="3"/>
  <c r="E116" i="3" s="1"/>
  <c r="C31" i="3"/>
  <c r="E31" i="3" s="1"/>
  <c r="B116" i="3"/>
  <c r="G265" i="3"/>
  <c r="O31" i="3"/>
  <c r="P31" i="3" s="1"/>
  <c r="O127" i="3"/>
  <c r="P127" i="3" s="1"/>
  <c r="N103" i="3"/>
  <c r="C25" i="3"/>
  <c r="E25" i="3" s="1"/>
  <c r="H108" i="3"/>
  <c r="F108" i="3" s="1"/>
  <c r="B31" i="3"/>
  <c r="N4" i="3"/>
  <c r="I37" i="3"/>
  <c r="B212" i="3"/>
  <c r="D212" i="3" s="1"/>
  <c r="I213" i="3"/>
  <c r="F213" i="3" s="1"/>
  <c r="G213" i="3"/>
  <c r="C213" i="3"/>
  <c r="E213" i="3" s="1"/>
  <c r="I57" i="3"/>
  <c r="B3" i="3"/>
  <c r="H57" i="3"/>
  <c r="I133" i="3"/>
  <c r="H212" i="3"/>
  <c r="J212" i="3" s="1"/>
  <c r="C57" i="3"/>
  <c r="E57" i="3" s="1"/>
  <c r="N212" i="3"/>
  <c r="O57" i="3"/>
  <c r="P57" i="3" s="1"/>
  <c r="H133" i="3"/>
  <c r="G212" i="3"/>
  <c r="L212" i="3" s="1"/>
  <c r="B57" i="3"/>
  <c r="O213" i="3"/>
  <c r="P213" i="3" s="1"/>
  <c r="G224" i="3"/>
  <c r="L224" i="3" s="1"/>
  <c r="G133" i="3"/>
  <c r="N213" i="3"/>
  <c r="B224" i="3"/>
  <c r="D224" i="3" s="1"/>
  <c r="H224" i="3"/>
  <c r="B133" i="3"/>
  <c r="N224" i="3"/>
  <c r="C133" i="3"/>
  <c r="E133" i="3" s="1"/>
  <c r="I224" i="3"/>
  <c r="K224" i="3" s="1"/>
  <c r="O224" i="3"/>
  <c r="P224" i="3" s="1"/>
  <c r="O133" i="3"/>
  <c r="P133" i="3" s="1"/>
  <c r="N210" i="3"/>
  <c r="C252" i="3"/>
  <c r="E252" i="3" s="1"/>
  <c r="B23" i="3"/>
  <c r="B252" i="3"/>
  <c r="H210" i="3"/>
  <c r="I24" i="3"/>
  <c r="O145" i="3"/>
  <c r="P145" i="3" s="1"/>
  <c r="G210" i="3"/>
  <c r="H24" i="3"/>
  <c r="I3" i="3"/>
  <c r="B234" i="3"/>
  <c r="N145" i="3"/>
  <c r="O24" i="3"/>
  <c r="P24" i="3" s="1"/>
  <c r="O218" i="3"/>
  <c r="P218" i="3" s="1"/>
  <c r="G44" i="3"/>
  <c r="N7" i="3"/>
  <c r="C44" i="3"/>
  <c r="B108" i="3"/>
  <c r="I210" i="3"/>
  <c r="C210" i="3"/>
  <c r="E210" i="3" s="1"/>
  <c r="G24" i="3"/>
  <c r="I241" i="3"/>
  <c r="H3" i="3"/>
  <c r="N24" i="3"/>
  <c r="N218" i="3"/>
  <c r="B7" i="3"/>
  <c r="C6" i="3"/>
  <c r="C63" i="3"/>
  <c r="E63" i="3" s="1"/>
  <c r="C108" i="3"/>
  <c r="H155" i="3"/>
  <c r="B210" i="3"/>
  <c r="C24" i="3"/>
  <c r="E24" i="3" s="1"/>
  <c r="H241" i="3"/>
  <c r="G3" i="3"/>
  <c r="I145" i="3"/>
  <c r="G241" i="3"/>
  <c r="C3" i="3"/>
  <c r="E3" i="3" s="1"/>
  <c r="O252" i="3"/>
  <c r="P252" i="3" s="1"/>
  <c r="G55" i="3"/>
  <c r="G145" i="3"/>
  <c r="B241" i="3"/>
  <c r="H19" i="3"/>
  <c r="B106" i="3"/>
  <c r="D106" i="3" s="1"/>
  <c r="C145" i="3"/>
  <c r="E145" i="3" s="1"/>
  <c r="I44" i="3"/>
  <c r="I218" i="3"/>
  <c r="H218" i="3"/>
  <c r="I35" i="3"/>
  <c r="G218" i="3"/>
  <c r="H35" i="3"/>
  <c r="O35" i="3"/>
  <c r="P35" i="3" s="1"/>
  <c r="G4" i="3"/>
  <c r="G96" i="3"/>
  <c r="H106" i="3"/>
  <c r="I252" i="3"/>
  <c r="F252" i="3" s="1"/>
  <c r="C218" i="3"/>
  <c r="E218" i="3" s="1"/>
  <c r="G35" i="3"/>
  <c r="N55" i="3"/>
  <c r="O3" i="3"/>
  <c r="P3" i="3" s="1"/>
  <c r="N35" i="3"/>
  <c r="N100" i="3"/>
  <c r="B165" i="3"/>
  <c r="G89" i="3"/>
  <c r="B26" i="3"/>
  <c r="B21" i="3"/>
  <c r="B5" i="3"/>
  <c r="O89" i="3"/>
  <c r="P89" i="3" s="1"/>
  <c r="N148" i="3"/>
  <c r="H6" i="3"/>
  <c r="C89" i="3"/>
  <c r="E89" i="3" s="1"/>
  <c r="N89" i="3"/>
  <c r="B89" i="3"/>
  <c r="G148" i="3"/>
  <c r="O5" i="3"/>
  <c r="P5" i="3" s="1"/>
  <c r="C233" i="3"/>
  <c r="E233" i="3" s="1"/>
  <c r="G14" i="3"/>
  <c r="C148" i="3"/>
  <c r="E148" i="3" s="1"/>
  <c r="O161" i="3"/>
  <c r="P161" i="3" s="1"/>
  <c r="N5" i="3"/>
  <c r="B148" i="3"/>
  <c r="N161" i="3"/>
  <c r="O138" i="3"/>
  <c r="P138" i="3" s="1"/>
  <c r="C26" i="3"/>
  <c r="E26" i="3" s="1"/>
  <c r="H161" i="3"/>
  <c r="F161" i="3" s="1"/>
  <c r="C109" i="3"/>
  <c r="E109" i="3" s="1"/>
  <c r="N138" i="3"/>
  <c r="O63" i="3"/>
  <c r="P63" i="3" s="1"/>
  <c r="G161" i="3"/>
  <c r="I113" i="3"/>
  <c r="C161" i="3"/>
  <c r="E161" i="3" s="1"/>
  <c r="I138" i="3"/>
  <c r="H113" i="3"/>
  <c r="B161" i="3"/>
  <c r="H138" i="3"/>
  <c r="G113" i="3"/>
  <c r="C165" i="3"/>
  <c r="E165" i="3" s="1"/>
  <c r="C5" i="3"/>
  <c r="E5" i="3" s="1"/>
  <c r="G138" i="3"/>
  <c r="C113" i="3"/>
  <c r="E113" i="3" s="1"/>
  <c r="I86" i="3"/>
  <c r="O113" i="3"/>
  <c r="P113" i="3" s="1"/>
  <c r="I100" i="3"/>
  <c r="I173" i="3"/>
  <c r="H100" i="3"/>
  <c r="C138" i="3"/>
  <c r="E138" i="3" s="1"/>
  <c r="H235" i="3"/>
  <c r="F235" i="3" s="1"/>
  <c r="B113" i="3"/>
  <c r="C86" i="3"/>
  <c r="E86" i="3" s="1"/>
  <c r="O165" i="3"/>
  <c r="P165" i="3" s="1"/>
  <c r="O272" i="3"/>
  <c r="P272" i="3" s="1"/>
  <c r="G121" i="3"/>
  <c r="H173" i="3"/>
  <c r="G100" i="3"/>
  <c r="B235" i="3"/>
  <c r="I73" i="3"/>
  <c r="N165" i="3"/>
  <c r="O14" i="3"/>
  <c r="P14" i="3" s="1"/>
  <c r="H121" i="3"/>
  <c r="C100" i="3"/>
  <c r="E100" i="3" s="1"/>
  <c r="I26" i="3"/>
  <c r="I5" i="3"/>
  <c r="O173" i="3"/>
  <c r="P173" i="3" s="1"/>
  <c r="O26" i="3"/>
  <c r="P26" i="3" s="1"/>
  <c r="G173" i="3"/>
  <c r="C173" i="3"/>
  <c r="E173" i="3" s="1"/>
  <c r="H26" i="3"/>
  <c r="H116" i="3"/>
  <c r="G21" i="3"/>
  <c r="B109" i="3"/>
  <c r="C172" i="3"/>
  <c r="E172" i="3" s="1"/>
  <c r="G235" i="3"/>
  <c r="I14" i="3"/>
  <c r="H86" i="3"/>
  <c r="O285" i="3"/>
  <c r="P285" i="3" s="1"/>
  <c r="N14" i="3"/>
  <c r="N153" i="3"/>
  <c r="B121" i="3"/>
  <c r="C21" i="3"/>
  <c r="E21" i="3" s="1"/>
  <c r="B172" i="3"/>
  <c r="C235" i="3"/>
  <c r="E235" i="3" s="1"/>
  <c r="I202" i="3"/>
  <c r="H14" i="3"/>
  <c r="G86" i="3"/>
  <c r="N285" i="3"/>
  <c r="O172" i="3"/>
  <c r="P172" i="3" s="1"/>
  <c r="O52" i="3"/>
  <c r="P52" i="3" s="1"/>
  <c r="O243" i="3"/>
  <c r="P243" i="3" s="1"/>
  <c r="N233" i="3"/>
  <c r="C121" i="3"/>
  <c r="E121" i="3" s="1"/>
  <c r="B198" i="3"/>
  <c r="I251" i="3"/>
  <c r="C14" i="3"/>
  <c r="E14" i="3" s="1"/>
  <c r="B86" i="3"/>
  <c r="C98" i="3"/>
  <c r="E98" i="3" s="1"/>
  <c r="H251" i="3"/>
  <c r="I64" i="3"/>
  <c r="H99" i="3"/>
  <c r="G73" i="3"/>
  <c r="C202" i="3"/>
  <c r="E202" i="3" s="1"/>
  <c r="N73" i="3"/>
  <c r="H47" i="3"/>
  <c r="I121" i="3"/>
  <c r="O73" i="3"/>
  <c r="P73" i="3" s="1"/>
  <c r="I285" i="3"/>
  <c r="I71" i="3"/>
  <c r="B98" i="3"/>
  <c r="G251" i="3"/>
  <c r="H64" i="3"/>
  <c r="G99" i="3"/>
  <c r="C73" i="3"/>
  <c r="E73" i="3" s="1"/>
  <c r="B202" i="3"/>
  <c r="I52" i="3"/>
  <c r="I243" i="3"/>
  <c r="O116" i="3"/>
  <c r="P116" i="3" s="1"/>
  <c r="O273" i="3"/>
  <c r="P273" i="3" s="1"/>
  <c r="O86" i="3"/>
  <c r="P86" i="3" s="1"/>
  <c r="O182" i="3"/>
  <c r="P182" i="3" s="1"/>
  <c r="I6" i="3"/>
  <c r="B153" i="3"/>
  <c r="N172" i="3"/>
  <c r="I99" i="3"/>
  <c r="H73" i="3"/>
  <c r="C251" i="3"/>
  <c r="E251" i="3" s="1"/>
  <c r="I139" i="3"/>
  <c r="G64" i="3"/>
  <c r="C99" i="3"/>
  <c r="E99" i="3" s="1"/>
  <c r="H52" i="3"/>
  <c r="H243" i="3"/>
  <c r="O71" i="3"/>
  <c r="P71" i="3" s="1"/>
  <c r="N273" i="3"/>
  <c r="N182" i="3"/>
  <c r="N121" i="3"/>
  <c r="N243" i="3"/>
  <c r="G202" i="3"/>
  <c r="G285" i="3"/>
  <c r="G71" i="3"/>
  <c r="B251" i="3"/>
  <c r="H139" i="3"/>
  <c r="C64" i="3"/>
  <c r="E64" i="3" s="1"/>
  <c r="B99" i="3"/>
  <c r="I273" i="3"/>
  <c r="G52" i="3"/>
  <c r="G243" i="3"/>
  <c r="I182" i="3"/>
  <c r="N71" i="3"/>
  <c r="O109" i="3"/>
  <c r="P109" i="3" s="1"/>
  <c r="O64" i="3"/>
  <c r="P64" i="3" s="1"/>
  <c r="C153" i="3"/>
  <c r="E153" i="3" s="1"/>
  <c r="H71" i="3"/>
  <c r="C285" i="3"/>
  <c r="E285" i="3" s="1"/>
  <c r="G139" i="3"/>
  <c r="B64" i="3"/>
  <c r="H273" i="3"/>
  <c r="C52" i="3"/>
  <c r="E52" i="3" s="1"/>
  <c r="C243" i="3"/>
  <c r="E243" i="3" s="1"/>
  <c r="H182" i="3"/>
  <c r="N109" i="3"/>
  <c r="H285" i="3"/>
  <c r="C71" i="3"/>
  <c r="E71" i="3" s="1"/>
  <c r="I132" i="3"/>
  <c r="I225" i="3"/>
  <c r="C139" i="3"/>
  <c r="E139" i="3" s="1"/>
  <c r="G273" i="3"/>
  <c r="I167" i="3"/>
  <c r="G182" i="3"/>
  <c r="O225" i="3"/>
  <c r="P225" i="3" s="1"/>
  <c r="O202" i="3"/>
  <c r="P202" i="3" s="1"/>
  <c r="O167" i="3"/>
  <c r="P167" i="3" s="1"/>
  <c r="I47" i="3"/>
  <c r="G153" i="3"/>
  <c r="B139" i="3"/>
  <c r="C273" i="3"/>
  <c r="E273" i="3" s="1"/>
  <c r="H167" i="3"/>
  <c r="C182" i="3"/>
  <c r="E182" i="3" s="1"/>
  <c r="N225" i="3"/>
  <c r="N167" i="3"/>
  <c r="G233" i="3"/>
  <c r="G225" i="3"/>
  <c r="I234" i="3"/>
  <c r="G167" i="3"/>
  <c r="O98" i="3"/>
  <c r="P98" i="3" s="1"/>
  <c r="O21" i="3"/>
  <c r="P21" i="3" s="1"/>
  <c r="O139" i="3"/>
  <c r="P139" i="3" s="1"/>
  <c r="O235" i="3"/>
  <c r="P235" i="3" s="1"/>
  <c r="B233" i="3"/>
  <c r="I233" i="3"/>
  <c r="H153" i="3"/>
  <c r="G172" i="3"/>
  <c r="I109" i="3"/>
  <c r="H234" i="3"/>
  <c r="C167" i="3"/>
  <c r="E167" i="3" s="1"/>
  <c r="N21" i="3"/>
  <c r="N235" i="3"/>
  <c r="H109" i="3"/>
  <c r="I172" i="3"/>
  <c r="F172" i="3" s="1"/>
  <c r="G234" i="3"/>
  <c r="O251" i="3"/>
  <c r="P251" i="3" s="1"/>
  <c r="O99" i="3"/>
  <c r="P99" i="3" s="1"/>
  <c r="O234" i="3"/>
  <c r="P234" i="3" s="1"/>
  <c r="H233" i="3"/>
  <c r="N6" i="3"/>
  <c r="G63" i="3"/>
  <c r="C234" i="3"/>
  <c r="E234" i="3" s="1"/>
  <c r="H63" i="3"/>
  <c r="I153" i="3"/>
  <c r="C55" i="3"/>
  <c r="E55" i="3" s="1"/>
  <c r="O13" i="3"/>
  <c r="P13" i="3" s="1"/>
  <c r="O83" i="3"/>
  <c r="P83" i="3" s="1"/>
  <c r="B55" i="3"/>
  <c r="N13" i="3"/>
  <c r="N83" i="3"/>
  <c r="I13" i="3"/>
  <c r="F13" i="3" s="1"/>
  <c r="I83" i="3"/>
  <c r="F83" i="3" s="1"/>
  <c r="O47" i="3"/>
  <c r="P47" i="3" s="1"/>
  <c r="B47" i="3"/>
  <c r="C47" i="3"/>
  <c r="E47" i="3" s="1"/>
  <c r="G47" i="3"/>
  <c r="I181" i="3"/>
  <c r="G13" i="3"/>
  <c r="H190" i="3"/>
  <c r="G83" i="3"/>
  <c r="I59" i="3"/>
  <c r="H181" i="3"/>
  <c r="O154" i="3"/>
  <c r="P154" i="3" s="1"/>
  <c r="O59" i="3"/>
  <c r="P59" i="3" s="1"/>
  <c r="O11" i="3"/>
  <c r="P11" i="3" s="1"/>
  <c r="G11" i="3"/>
  <c r="I11" i="3"/>
  <c r="B11" i="3"/>
  <c r="N11" i="3"/>
  <c r="C11" i="3"/>
  <c r="E11" i="3" s="1"/>
  <c r="H11" i="3"/>
  <c r="I190" i="3"/>
  <c r="C13" i="3"/>
  <c r="E13" i="3" s="1"/>
  <c r="G190" i="3"/>
  <c r="C83" i="3"/>
  <c r="E83" i="3" s="1"/>
  <c r="H59" i="3"/>
  <c r="G181" i="3"/>
  <c r="N59" i="3"/>
  <c r="B13" i="3"/>
  <c r="C190" i="3"/>
  <c r="E190" i="3" s="1"/>
  <c r="B83" i="3"/>
  <c r="G59" i="3"/>
  <c r="C181" i="3"/>
  <c r="E181" i="3" s="1"/>
  <c r="O155" i="3"/>
  <c r="P155" i="3" s="1"/>
  <c r="C19" i="3"/>
  <c r="E19" i="3" s="1"/>
  <c r="B19" i="3"/>
  <c r="B27" i="3"/>
  <c r="C27" i="3"/>
  <c r="E27" i="3" s="1"/>
  <c r="G27" i="3"/>
  <c r="H27" i="3"/>
  <c r="I27" i="3"/>
  <c r="N27" i="3"/>
  <c r="B190" i="3"/>
  <c r="C59" i="3"/>
  <c r="E59" i="3" s="1"/>
  <c r="B181" i="3"/>
  <c r="N155" i="3"/>
  <c r="O27" i="3"/>
  <c r="P27" i="3" s="1"/>
  <c r="G23" i="3"/>
  <c r="C23" i="3"/>
  <c r="E23" i="3" s="1"/>
  <c r="H23" i="3"/>
  <c r="I23" i="3"/>
  <c r="N23" i="3"/>
  <c r="I60" i="3"/>
  <c r="I155" i="3"/>
  <c r="H60" i="3"/>
  <c r="H171" i="3"/>
  <c r="C171" i="3"/>
  <c r="E171" i="3" s="1"/>
  <c r="G171" i="3"/>
  <c r="B171" i="3"/>
  <c r="O171" i="3"/>
  <c r="P171" i="3" s="1"/>
  <c r="N171" i="3"/>
  <c r="G60" i="3"/>
  <c r="O190" i="3"/>
  <c r="P190" i="3" s="1"/>
  <c r="O181" i="3"/>
  <c r="P181" i="3" s="1"/>
  <c r="G155" i="3"/>
  <c r="C60" i="3"/>
  <c r="E60" i="3" s="1"/>
  <c r="C155" i="3"/>
  <c r="E155" i="3" s="1"/>
  <c r="B60" i="3"/>
  <c r="O60" i="3"/>
  <c r="P60" i="3" s="1"/>
  <c r="I55" i="3"/>
  <c r="L106" i="3"/>
  <c r="L226" i="3"/>
  <c r="L33" i="3"/>
  <c r="L217" i="3"/>
  <c r="D122" i="3"/>
  <c r="D192" i="3"/>
  <c r="K263" i="3" l="1"/>
  <c r="D249" i="3"/>
  <c r="L263" i="3"/>
  <c r="F118" i="3"/>
  <c r="K118" i="3"/>
  <c r="L249" i="3"/>
  <c r="K249" i="3"/>
  <c r="J249" i="3"/>
  <c r="D263" i="3"/>
  <c r="J263" i="3"/>
  <c r="F263" i="3"/>
  <c r="K262" i="3"/>
  <c r="F249" i="3"/>
  <c r="K209" i="3"/>
  <c r="J262" i="3"/>
  <c r="F262" i="3"/>
  <c r="L262" i="3"/>
  <c r="D262" i="3"/>
  <c r="K223" i="3"/>
  <c r="L231" i="3"/>
  <c r="K131" i="3"/>
  <c r="K232" i="3"/>
  <c r="K196" i="3"/>
  <c r="K231" i="3"/>
  <c r="K281" i="3"/>
  <c r="K159" i="3"/>
  <c r="L281" i="3"/>
  <c r="L131" i="3"/>
  <c r="L232" i="3"/>
  <c r="L159" i="3"/>
  <c r="L196" i="3"/>
  <c r="L209" i="3"/>
  <c r="L223" i="3"/>
  <c r="F205" i="3"/>
  <c r="J281" i="3"/>
  <c r="F281" i="3"/>
  <c r="D281" i="3"/>
  <c r="J131" i="3"/>
  <c r="F131" i="3"/>
  <c r="D131" i="3"/>
  <c r="J232" i="3"/>
  <c r="F232" i="3"/>
  <c r="D232" i="3"/>
  <c r="J159" i="3"/>
  <c r="F159" i="3"/>
  <c r="D159" i="3"/>
  <c r="J196" i="3"/>
  <c r="F196" i="3"/>
  <c r="D196" i="3"/>
  <c r="J209" i="3"/>
  <c r="F209" i="3"/>
  <c r="D209" i="3"/>
  <c r="J223" i="3"/>
  <c r="F223" i="3"/>
  <c r="D223" i="3"/>
  <c r="L78" i="3"/>
  <c r="F130" i="3"/>
  <c r="J279" i="3"/>
  <c r="F78" i="3"/>
  <c r="F221" i="3"/>
  <c r="D261" i="3"/>
  <c r="F142" i="3"/>
  <c r="L152" i="3"/>
  <c r="J142" i="3"/>
  <c r="L261" i="3"/>
  <c r="J221" i="3"/>
  <c r="D231" i="3"/>
  <c r="L142" i="3"/>
  <c r="D152" i="3"/>
  <c r="D221" i="3"/>
  <c r="D142" i="3"/>
  <c r="F152" i="3"/>
  <c r="E221" i="3"/>
  <c r="J231" i="3"/>
  <c r="K248" i="3"/>
  <c r="E248" i="3"/>
  <c r="J248" i="3"/>
  <c r="F248" i="3"/>
  <c r="D248" i="3"/>
  <c r="K142" i="3"/>
  <c r="D279" i="3"/>
  <c r="K221" i="3"/>
  <c r="E276" i="3"/>
  <c r="K205" i="3"/>
  <c r="L276" i="3"/>
  <c r="K195" i="3"/>
  <c r="E135" i="3"/>
  <c r="K247" i="3"/>
  <c r="L279" i="3"/>
  <c r="K135" i="3"/>
  <c r="D222" i="3"/>
  <c r="J276" i="3"/>
  <c r="J222" i="3"/>
  <c r="F222" i="3"/>
  <c r="L222" i="3"/>
  <c r="K222" i="3"/>
  <c r="K261" i="3"/>
  <c r="J135" i="3"/>
  <c r="L221" i="3"/>
  <c r="J261" i="3"/>
  <c r="K279" i="3"/>
  <c r="J152" i="3"/>
  <c r="F261" i="3"/>
  <c r="K152" i="3"/>
  <c r="F280" i="3"/>
  <c r="D247" i="3"/>
  <c r="J247" i="3"/>
  <c r="F247" i="3"/>
  <c r="L195" i="3"/>
  <c r="L247" i="3"/>
  <c r="J195" i="3"/>
  <c r="F195" i="3"/>
  <c r="D195" i="3"/>
  <c r="L291" i="3"/>
  <c r="F135" i="3"/>
  <c r="J124" i="3"/>
  <c r="L135" i="3"/>
  <c r="K293" i="3"/>
  <c r="J150" i="3"/>
  <c r="E124" i="3"/>
  <c r="L150" i="3"/>
  <c r="L260" i="3"/>
  <c r="F188" i="3"/>
  <c r="K278" i="3"/>
  <c r="F87" i="3"/>
  <c r="J293" i="3"/>
  <c r="F293" i="3"/>
  <c r="D293" i="3"/>
  <c r="L293" i="3"/>
  <c r="F208" i="3"/>
  <c r="K151" i="3"/>
  <c r="D151" i="3"/>
  <c r="L151" i="3"/>
  <c r="F246" i="3"/>
  <c r="D41" i="3"/>
  <c r="K260" i="3"/>
  <c r="J260" i="3"/>
  <c r="F260" i="3"/>
  <c r="D260" i="3"/>
  <c r="J151" i="3"/>
  <c r="F151" i="3"/>
  <c r="J41" i="3"/>
  <c r="F187" i="3"/>
  <c r="D188" i="3"/>
  <c r="F137" i="3"/>
  <c r="J188" i="3"/>
  <c r="L188" i="3"/>
  <c r="K188" i="3"/>
  <c r="K230" i="3"/>
  <c r="L41" i="3"/>
  <c r="F41" i="3"/>
  <c r="D137" i="3"/>
  <c r="L137" i="3"/>
  <c r="J137" i="3"/>
  <c r="K137" i="3"/>
  <c r="K41" i="3"/>
  <c r="D187" i="3"/>
  <c r="L187" i="3"/>
  <c r="J187" i="3"/>
  <c r="K187" i="3"/>
  <c r="L107" i="3"/>
  <c r="F107" i="3"/>
  <c r="K114" i="3"/>
  <c r="L130" i="3"/>
  <c r="D130" i="3"/>
  <c r="J107" i="3"/>
  <c r="J78" i="3"/>
  <c r="D78" i="3"/>
  <c r="D107" i="3"/>
  <c r="K107" i="3"/>
  <c r="K78" i="3"/>
  <c r="J230" i="3"/>
  <c r="F230" i="3"/>
  <c r="D230" i="3"/>
  <c r="L230" i="3"/>
  <c r="D278" i="3"/>
  <c r="L278" i="3"/>
  <c r="D227" i="3"/>
  <c r="J278" i="3"/>
  <c r="F278" i="3"/>
  <c r="K20" i="3"/>
  <c r="K101" i="3"/>
  <c r="L112" i="3"/>
  <c r="J130" i="3"/>
  <c r="F114" i="3"/>
  <c r="D114" i="3"/>
  <c r="K130" i="3"/>
  <c r="J101" i="3"/>
  <c r="F101" i="3"/>
  <c r="D101" i="3"/>
  <c r="J114" i="3"/>
  <c r="L114" i="3"/>
  <c r="L101" i="3"/>
  <c r="K229" i="3"/>
  <c r="K157" i="3"/>
  <c r="K92" i="3"/>
  <c r="L157" i="3"/>
  <c r="L92" i="3"/>
  <c r="D92" i="3"/>
  <c r="K30" i="3"/>
  <c r="K169" i="3"/>
  <c r="K38" i="3"/>
  <c r="K207" i="3"/>
  <c r="K158" i="3"/>
  <c r="J92" i="3"/>
  <c r="F92" i="3"/>
  <c r="L227" i="3"/>
  <c r="K206" i="3"/>
  <c r="D229" i="3"/>
  <c r="D157" i="3"/>
  <c r="F227" i="3"/>
  <c r="K292" i="3"/>
  <c r="K193" i="3"/>
  <c r="K141" i="3"/>
  <c r="D258" i="3"/>
  <c r="K258" i="3"/>
  <c r="K93" i="3"/>
  <c r="K277" i="3"/>
  <c r="L74" i="3"/>
  <c r="F291" i="3"/>
  <c r="L229" i="3"/>
  <c r="L258" i="3"/>
  <c r="K257" i="3"/>
  <c r="D257" i="3"/>
  <c r="L141" i="3"/>
  <c r="L257" i="3"/>
  <c r="D112" i="3"/>
  <c r="K186" i="3"/>
  <c r="K115" i="3"/>
  <c r="K136" i="3"/>
  <c r="L158" i="3"/>
  <c r="D158" i="3"/>
  <c r="K185" i="3"/>
  <c r="K259" i="3"/>
  <c r="L277" i="3"/>
  <c r="D277" i="3"/>
  <c r="K117" i="3"/>
  <c r="K123" i="3"/>
  <c r="D141" i="3"/>
  <c r="L186" i="3"/>
  <c r="D186" i="3"/>
  <c r="L115" i="3"/>
  <c r="L136" i="3"/>
  <c r="D136" i="3"/>
  <c r="L259" i="3"/>
  <c r="D259" i="3"/>
  <c r="L123" i="3"/>
  <c r="D123" i="3"/>
  <c r="K174" i="3"/>
  <c r="J186" i="3"/>
  <c r="F186" i="3"/>
  <c r="L207" i="3"/>
  <c r="D207" i="3"/>
  <c r="K56" i="3"/>
  <c r="J229" i="3"/>
  <c r="F229" i="3"/>
  <c r="L30" i="3"/>
  <c r="D30" i="3"/>
  <c r="J90" i="3"/>
  <c r="F90" i="3"/>
  <c r="J194" i="3"/>
  <c r="F194" i="3"/>
  <c r="J146" i="3"/>
  <c r="F146" i="3"/>
  <c r="J245" i="3"/>
  <c r="F245" i="3"/>
  <c r="J72" i="3"/>
  <c r="F72" i="3"/>
  <c r="J256" i="3"/>
  <c r="F256" i="3"/>
  <c r="J120" i="3"/>
  <c r="F120" i="3"/>
  <c r="J228" i="3"/>
  <c r="F228" i="3"/>
  <c r="J74" i="3"/>
  <c r="F74" i="3"/>
  <c r="J174" i="3"/>
  <c r="F174" i="3"/>
  <c r="J56" i="3"/>
  <c r="F56" i="3"/>
  <c r="J115" i="3"/>
  <c r="F115" i="3"/>
  <c r="L90" i="3"/>
  <c r="D90" i="3"/>
  <c r="J169" i="3"/>
  <c r="F169" i="3"/>
  <c r="L194" i="3"/>
  <c r="D194" i="3"/>
  <c r="J292" i="3"/>
  <c r="F292" i="3"/>
  <c r="L146" i="3"/>
  <c r="D146" i="3"/>
  <c r="J185" i="3"/>
  <c r="F185" i="3"/>
  <c r="L245" i="3"/>
  <c r="D245" i="3"/>
  <c r="J93" i="3"/>
  <c r="F93" i="3"/>
  <c r="L72" i="3"/>
  <c r="D72" i="3"/>
  <c r="J38" i="3"/>
  <c r="F38" i="3"/>
  <c r="L256" i="3"/>
  <c r="D256" i="3"/>
  <c r="J117" i="3"/>
  <c r="F117" i="3"/>
  <c r="L120" i="3"/>
  <c r="D120" i="3"/>
  <c r="J193" i="3"/>
  <c r="F193" i="3"/>
  <c r="L228" i="3"/>
  <c r="D228" i="3"/>
  <c r="J20" i="3"/>
  <c r="F20" i="3"/>
  <c r="D74" i="3"/>
  <c r="J206" i="3"/>
  <c r="F206" i="3"/>
  <c r="L174" i="3"/>
  <c r="D174" i="3"/>
  <c r="J207" i="3"/>
  <c r="F207" i="3"/>
  <c r="L56" i="3"/>
  <c r="D56" i="3"/>
  <c r="J30" i="3"/>
  <c r="F30" i="3"/>
  <c r="D115" i="3"/>
  <c r="K90" i="3"/>
  <c r="J136" i="3"/>
  <c r="F136" i="3"/>
  <c r="L169" i="3"/>
  <c r="D169" i="3"/>
  <c r="K194" i="3"/>
  <c r="J258" i="3"/>
  <c r="F258" i="3"/>
  <c r="L292" i="3"/>
  <c r="D292" i="3"/>
  <c r="K146" i="3"/>
  <c r="J158" i="3"/>
  <c r="F158" i="3"/>
  <c r="L185" i="3"/>
  <c r="D185" i="3"/>
  <c r="K245" i="3"/>
  <c r="J259" i="3"/>
  <c r="F259" i="3"/>
  <c r="L93" i="3"/>
  <c r="D93" i="3"/>
  <c r="K72" i="3"/>
  <c r="J157" i="3"/>
  <c r="F157" i="3"/>
  <c r="L38" i="3"/>
  <c r="D38" i="3"/>
  <c r="K256" i="3"/>
  <c r="J277" i="3"/>
  <c r="F277" i="3"/>
  <c r="L117" i="3"/>
  <c r="D117" i="3"/>
  <c r="K120" i="3"/>
  <c r="J123" i="3"/>
  <c r="F123" i="3"/>
  <c r="L193" i="3"/>
  <c r="D193" i="3"/>
  <c r="K228" i="3"/>
  <c r="J257" i="3"/>
  <c r="F257" i="3"/>
  <c r="L20" i="3"/>
  <c r="D20" i="3"/>
  <c r="K74" i="3"/>
  <c r="J141" i="3"/>
  <c r="F141" i="3"/>
  <c r="L206" i="3"/>
  <c r="D206" i="3"/>
  <c r="J112" i="3"/>
  <c r="K227" i="3"/>
  <c r="F112" i="3"/>
  <c r="K112" i="3"/>
  <c r="J227" i="3"/>
  <c r="L69" i="3"/>
  <c r="F220" i="3"/>
  <c r="D189" i="3"/>
  <c r="J189" i="3"/>
  <c r="F175" i="3"/>
  <c r="L189" i="3"/>
  <c r="D42" i="3"/>
  <c r="D220" i="3"/>
  <c r="K220" i="3"/>
  <c r="J220" i="3"/>
  <c r="L220" i="3"/>
  <c r="D94" i="3"/>
  <c r="J94" i="3"/>
  <c r="K37" i="3"/>
  <c r="K200" i="3"/>
  <c r="D226" i="3"/>
  <c r="F33" i="3"/>
  <c r="F77" i="3"/>
  <c r="K189" i="3"/>
  <c r="D177" i="3"/>
  <c r="D81" i="3"/>
  <c r="L94" i="3"/>
  <c r="F58" i="3"/>
  <c r="D149" i="3"/>
  <c r="D6" i="3"/>
  <c r="D176" i="3"/>
  <c r="L163" i="3"/>
  <c r="J217" i="3"/>
  <c r="D12" i="3"/>
  <c r="J81" i="3"/>
  <c r="J33" i="3"/>
  <c r="D54" i="3"/>
  <c r="L244" i="3"/>
  <c r="L237" i="3"/>
  <c r="J236" i="3"/>
  <c r="D217" i="3"/>
  <c r="K54" i="3"/>
  <c r="J226" i="3"/>
  <c r="L54" i="3"/>
  <c r="J54" i="3"/>
  <c r="J16" i="3"/>
  <c r="L122" i="3"/>
  <c r="L77" i="3"/>
  <c r="D129" i="3"/>
  <c r="F226" i="3"/>
  <c r="K8" i="3"/>
  <c r="J286" i="3"/>
  <c r="F2" i="3"/>
  <c r="L110" i="3"/>
  <c r="L91" i="3"/>
  <c r="J35" i="3"/>
  <c r="D35" i="3"/>
  <c r="D184" i="3"/>
  <c r="K29" i="3"/>
  <c r="K35" i="3"/>
  <c r="L160" i="3"/>
  <c r="J77" i="3"/>
  <c r="D160" i="3"/>
  <c r="J160" i="3"/>
  <c r="L35" i="3"/>
  <c r="K77" i="3"/>
  <c r="D77" i="3"/>
  <c r="K226" i="3"/>
  <c r="K160" i="3"/>
  <c r="K33" i="3"/>
  <c r="D15" i="3"/>
  <c r="D33" i="3"/>
  <c r="F122" i="3"/>
  <c r="D163" i="3"/>
  <c r="J15" i="3"/>
  <c r="J103" i="3"/>
  <c r="D240" i="3"/>
  <c r="D144" i="3"/>
  <c r="D168" i="3"/>
  <c r="D4" i="3"/>
  <c r="L240" i="3"/>
  <c r="K240" i="3"/>
  <c r="J149" i="3"/>
  <c r="F240" i="3"/>
  <c r="D91" i="3"/>
  <c r="F267" i="3"/>
  <c r="L42" i="3"/>
  <c r="K69" i="3"/>
  <c r="K149" i="3"/>
  <c r="K110" i="3"/>
  <c r="K42" i="3"/>
  <c r="J29" i="3"/>
  <c r="L79" i="3"/>
  <c r="L62" i="3"/>
  <c r="L179" i="3"/>
  <c r="L95" i="3"/>
  <c r="L34" i="3"/>
  <c r="F176" i="3"/>
  <c r="L81" i="3"/>
  <c r="F29" i="3"/>
  <c r="K58" i="3"/>
  <c r="L144" i="3"/>
  <c r="J225" i="3"/>
  <c r="D79" i="3"/>
  <c r="K144" i="3"/>
  <c r="D286" i="3"/>
  <c r="D28" i="3"/>
  <c r="K177" i="3"/>
  <c r="D140" i="3"/>
  <c r="L25" i="3"/>
  <c r="F69" i="3"/>
  <c r="J28" i="3"/>
  <c r="L28" i="3"/>
  <c r="J58" i="3"/>
  <c r="K79" i="3"/>
  <c r="L58" i="3"/>
  <c r="K103" i="3"/>
  <c r="J184" i="3"/>
  <c r="K15" i="3"/>
  <c r="J240" i="3"/>
  <c r="J84" i="3"/>
  <c r="K176" i="3"/>
  <c r="K84" i="3"/>
  <c r="K22" i="3"/>
  <c r="K106" i="3"/>
  <c r="K133" i="3"/>
  <c r="K4" i="3"/>
  <c r="K286" i="3"/>
  <c r="J163" i="3"/>
  <c r="J119" i="3"/>
  <c r="K244" i="3"/>
  <c r="F50" i="3"/>
  <c r="F110" i="3"/>
  <c r="F236" i="3"/>
  <c r="F42" i="3"/>
  <c r="F154" i="3"/>
  <c r="F28" i="3"/>
  <c r="J42" i="3"/>
  <c r="K81" i="3"/>
  <c r="F179" i="3"/>
  <c r="F144" i="3"/>
  <c r="J179" i="3"/>
  <c r="J110" i="3"/>
  <c r="F149" i="3"/>
  <c r="F214" i="3"/>
  <c r="F271" i="3"/>
  <c r="F54" i="3"/>
  <c r="F19" i="3"/>
  <c r="K28" i="3"/>
  <c r="F104" i="3"/>
  <c r="J144" i="3"/>
  <c r="F286" i="3"/>
  <c r="F22" i="3"/>
  <c r="F106" i="3"/>
  <c r="F84" i="3"/>
  <c r="F103" i="3"/>
  <c r="F8" i="3"/>
  <c r="F36" i="3"/>
  <c r="K25" i="3"/>
  <c r="F66" i="3"/>
  <c r="K140" i="3"/>
  <c r="D58" i="3"/>
  <c r="F63" i="3"/>
  <c r="F95" i="3"/>
  <c r="J88" i="3"/>
  <c r="D88" i="3"/>
  <c r="L177" i="3"/>
  <c r="F65" i="3"/>
  <c r="F148" i="3"/>
  <c r="L149" i="3"/>
  <c r="D69" i="3"/>
  <c r="L200" i="3"/>
  <c r="D244" i="3"/>
  <c r="F274" i="3"/>
  <c r="F217" i="3"/>
  <c r="K50" i="3"/>
  <c r="L225" i="3"/>
  <c r="D225" i="3"/>
  <c r="K225" i="3"/>
  <c r="F80" i="3"/>
  <c r="D50" i="3"/>
  <c r="J50" i="3"/>
  <c r="K65" i="3"/>
  <c r="D44" i="3"/>
  <c r="L143" i="3"/>
  <c r="F4" i="3"/>
  <c r="L140" i="3"/>
  <c r="L61" i="3"/>
  <c r="J143" i="3"/>
  <c r="D284" i="3"/>
  <c r="K61" i="3"/>
  <c r="D65" i="3"/>
  <c r="J284" i="3"/>
  <c r="L7" i="3"/>
  <c r="L88" i="3"/>
  <c r="J36" i="3"/>
  <c r="L65" i="3"/>
  <c r="D274" i="3"/>
  <c r="K34" i="3"/>
  <c r="D179" i="3"/>
  <c r="K36" i="3"/>
  <c r="L36" i="3"/>
  <c r="J274" i="3"/>
  <c r="E36" i="3"/>
  <c r="J95" i="3"/>
  <c r="K217" i="3"/>
  <c r="K95" i="3"/>
  <c r="D34" i="3"/>
  <c r="J122" i="3"/>
  <c r="K274" i="3"/>
  <c r="D36" i="3"/>
  <c r="D95" i="3"/>
  <c r="L274" i="3"/>
  <c r="K179" i="3"/>
  <c r="L214" i="3"/>
  <c r="L284" i="3"/>
  <c r="J80" i="3"/>
  <c r="D200" i="3"/>
  <c r="F244" i="3"/>
  <c r="L12" i="3"/>
  <c r="L250" i="3"/>
  <c r="F9" i="3"/>
  <c r="J140" i="3"/>
  <c r="F140" i="3"/>
  <c r="F61" i="3"/>
  <c r="D62" i="3"/>
  <c r="L50" i="3"/>
  <c r="D237" i="3"/>
  <c r="K129" i="3"/>
  <c r="F91" i="3"/>
  <c r="F129" i="3"/>
  <c r="J200" i="3"/>
  <c r="K2" i="3"/>
  <c r="J271" i="3"/>
  <c r="D18" i="3"/>
  <c r="L119" i="3"/>
  <c r="L18" i="3"/>
  <c r="F133" i="3"/>
  <c r="D84" i="3"/>
  <c r="L176" i="3"/>
  <c r="K271" i="3"/>
  <c r="J178" i="3"/>
  <c r="K250" i="3"/>
  <c r="J129" i="3"/>
  <c r="L10" i="3"/>
  <c r="L2" i="3"/>
  <c r="D250" i="3"/>
  <c r="D66" i="3"/>
  <c r="D2" i="3"/>
  <c r="M282" i="3" s="1"/>
  <c r="J18" i="3"/>
  <c r="J2" i="3"/>
  <c r="K18" i="3"/>
  <c r="K91" i="3"/>
  <c r="K10" i="3"/>
  <c r="L178" i="3"/>
  <c r="J91" i="3"/>
  <c r="F168" i="3"/>
  <c r="K178" i="3"/>
  <c r="L15" i="3"/>
  <c r="F284" i="3"/>
  <c r="K237" i="3"/>
  <c r="L164" i="3"/>
  <c r="D164" i="3"/>
  <c r="D267" i="3"/>
  <c r="D178" i="3"/>
  <c r="K119" i="3"/>
  <c r="L271" i="3"/>
  <c r="D271" i="3"/>
  <c r="D10" i="3"/>
  <c r="D119" i="3"/>
  <c r="L53" i="3"/>
  <c r="D272" i="3"/>
  <c r="J267" i="3"/>
  <c r="J4" i="3"/>
  <c r="K267" i="3"/>
  <c r="L272" i="3"/>
  <c r="J168" i="3"/>
  <c r="D265" i="3"/>
  <c r="J7" i="3"/>
  <c r="J62" i="3"/>
  <c r="K168" i="3"/>
  <c r="F178" i="3"/>
  <c r="K272" i="3"/>
  <c r="K265" i="3"/>
  <c r="K284" i="3"/>
  <c r="L168" i="3"/>
  <c r="K7" i="3"/>
  <c r="L265" i="3"/>
  <c r="F237" i="3"/>
  <c r="D7" i="3"/>
  <c r="F264" i="3"/>
  <c r="F94" i="3"/>
  <c r="F164" i="3"/>
  <c r="K143" i="3"/>
  <c r="F272" i="3"/>
  <c r="L286" i="3"/>
  <c r="F10" i="3"/>
  <c r="D104" i="3"/>
  <c r="J69" i="3"/>
  <c r="J133" i="3"/>
  <c r="J104" i="3"/>
  <c r="F200" i="3"/>
  <c r="J244" i="3"/>
  <c r="J272" i="3"/>
  <c r="K191" i="3"/>
  <c r="K154" i="3"/>
  <c r="K126" i="3"/>
  <c r="D132" i="3"/>
  <c r="F143" i="3"/>
  <c r="K132" i="3"/>
  <c r="J126" i="3"/>
  <c r="K253" i="3"/>
  <c r="J10" i="3"/>
  <c r="J253" i="3"/>
  <c r="L154" i="3"/>
  <c r="K164" i="3"/>
  <c r="J154" i="3"/>
  <c r="K104" i="3"/>
  <c r="D191" i="3"/>
  <c r="D53" i="3"/>
  <c r="D154" i="3"/>
  <c r="K94" i="3"/>
  <c r="L126" i="3"/>
  <c r="F250" i="3"/>
  <c r="D126" i="3"/>
  <c r="L253" i="3"/>
  <c r="L191" i="3"/>
  <c r="D253" i="3"/>
  <c r="L132" i="3"/>
  <c r="J132" i="3"/>
  <c r="L97" i="3"/>
  <c r="D143" i="3"/>
  <c r="L133" i="3"/>
  <c r="D97" i="3"/>
  <c r="J164" i="3"/>
  <c r="D110" i="3"/>
  <c r="F88" i="3"/>
  <c r="J176" i="3"/>
  <c r="D29" i="3"/>
  <c r="J65" i="3"/>
  <c r="L29" i="3"/>
  <c r="J8" i="3"/>
  <c r="F15" i="3"/>
  <c r="D61" i="3"/>
  <c r="J61" i="3"/>
  <c r="J177" i="3"/>
  <c r="L267" i="3"/>
  <c r="D8" i="3"/>
  <c r="F145" i="3"/>
  <c r="J237" i="3"/>
  <c r="L104" i="3"/>
  <c r="J191" i="3"/>
  <c r="L129" i="3"/>
  <c r="L8" i="3"/>
  <c r="K31" i="3"/>
  <c r="L103" i="3"/>
  <c r="L184" i="3"/>
  <c r="F49" i="3"/>
  <c r="L84" i="3"/>
  <c r="F17" i="3"/>
  <c r="F160" i="3"/>
  <c r="D241" i="3"/>
  <c r="J31" i="3"/>
  <c r="F191" i="3"/>
  <c r="J264" i="3"/>
  <c r="J170" i="3"/>
  <c r="L31" i="3"/>
  <c r="E96" i="3"/>
  <c r="K170" i="3"/>
  <c r="L22" i="3"/>
  <c r="J214" i="3"/>
  <c r="F177" i="3"/>
  <c r="F253" i="3"/>
  <c r="K241" i="3"/>
  <c r="F98" i="3"/>
  <c r="D9" i="3"/>
  <c r="D214" i="3"/>
  <c r="L241" i="3"/>
  <c r="K264" i="3"/>
  <c r="J241" i="3"/>
  <c r="L264" i="3"/>
  <c r="J22" i="3"/>
  <c r="K214" i="3"/>
  <c r="D22" i="3"/>
  <c r="D264" i="3"/>
  <c r="F57" i="3"/>
  <c r="F46" i="3"/>
  <c r="D16" i="3"/>
  <c r="J12" i="3"/>
  <c r="F34" i="3"/>
  <c r="F192" i="3"/>
  <c r="F216" i="3"/>
  <c r="F79" i="3"/>
  <c r="K62" i="3"/>
  <c r="K17" i="3"/>
  <c r="J192" i="3"/>
  <c r="J79" i="3"/>
  <c r="D17" i="3"/>
  <c r="F62" i="3"/>
  <c r="L17" i="3"/>
  <c r="F12" i="3"/>
  <c r="K216" i="3"/>
  <c r="F126" i="3"/>
  <c r="K49" i="3"/>
  <c r="F127" i="3"/>
  <c r="J68" i="3"/>
  <c r="J49" i="3"/>
  <c r="J34" i="3"/>
  <c r="L49" i="3"/>
  <c r="K46" i="3"/>
  <c r="D236" i="3"/>
  <c r="D49" i="3"/>
  <c r="L236" i="3"/>
  <c r="K236" i="3"/>
  <c r="F265" i="3"/>
  <c r="J25" i="3"/>
  <c r="K88" i="3"/>
  <c r="K163" i="3"/>
  <c r="K122" i="3"/>
  <c r="K9" i="3"/>
  <c r="D198" i="3"/>
  <c r="F163" i="3"/>
  <c r="F25" i="3"/>
  <c r="D37" i="3"/>
  <c r="K66" i="3"/>
  <c r="J250" i="3"/>
  <c r="L26" i="3"/>
  <c r="L156" i="3"/>
  <c r="K12" i="3"/>
  <c r="K96" i="3"/>
  <c r="J198" i="3"/>
  <c r="K287" i="3"/>
  <c r="L109" i="3"/>
  <c r="J265" i="3"/>
  <c r="K127" i="3"/>
  <c r="D156" i="3"/>
  <c r="L287" i="3"/>
  <c r="L66" i="3"/>
  <c r="K198" i="3"/>
  <c r="F97" i="3"/>
  <c r="J66" i="3"/>
  <c r="L9" i="3"/>
  <c r="J9" i="3"/>
  <c r="L198" i="3"/>
  <c r="D96" i="3"/>
  <c r="J156" i="3"/>
  <c r="L125" i="3"/>
  <c r="L68" i="3"/>
  <c r="J17" i="3"/>
  <c r="F68" i="3"/>
  <c r="F210" i="3"/>
  <c r="L37" i="3"/>
  <c r="L16" i="3"/>
  <c r="F184" i="3"/>
  <c r="F156" i="3"/>
  <c r="K184" i="3"/>
  <c r="K288" i="3"/>
  <c r="J97" i="3"/>
  <c r="D170" i="3"/>
  <c r="L76" i="3"/>
  <c r="J287" i="3"/>
  <c r="F287" i="3"/>
  <c r="K53" i="3"/>
  <c r="L170" i="3"/>
  <c r="D287" i="3"/>
  <c r="D68" i="3"/>
  <c r="K76" i="3"/>
  <c r="D76" i="3"/>
  <c r="J53" i="3"/>
  <c r="F53" i="3"/>
  <c r="J76" i="3"/>
  <c r="F76" i="3"/>
  <c r="K97" i="3"/>
  <c r="K68" i="3"/>
  <c r="D288" i="3"/>
  <c r="J288" i="3"/>
  <c r="F288" i="3"/>
  <c r="K111" i="3"/>
  <c r="D219" i="3"/>
  <c r="L288" i="3"/>
  <c r="K70" i="3"/>
  <c r="L75" i="3"/>
  <c r="K219" i="3"/>
  <c r="F219" i="3"/>
  <c r="J219" i="3"/>
  <c r="D103" i="3"/>
  <c r="L219" i="3"/>
  <c r="K156" i="3"/>
  <c r="K51" i="3"/>
  <c r="J75" i="3"/>
  <c r="F75" i="3"/>
  <c r="K134" i="3"/>
  <c r="K75" i="3"/>
  <c r="D75" i="3"/>
  <c r="D255" i="3"/>
  <c r="K48" i="3"/>
  <c r="L85" i="3"/>
  <c r="J85" i="3"/>
  <c r="F85" i="3"/>
  <c r="L4" i="3"/>
  <c r="L255" i="3"/>
  <c r="K85" i="3"/>
  <c r="D85" i="3"/>
  <c r="K199" i="3"/>
  <c r="K67" i="3"/>
  <c r="L48" i="3"/>
  <c r="K242" i="3"/>
  <c r="K268" i="3"/>
  <c r="L203" i="3"/>
  <c r="L201" i="3"/>
  <c r="K203" i="3"/>
  <c r="D48" i="3"/>
  <c r="K102" i="3"/>
  <c r="K201" i="3"/>
  <c r="L270" i="3"/>
  <c r="D270" i="3"/>
  <c r="L289" i="3"/>
  <c r="D289" i="3"/>
  <c r="D203" i="3"/>
  <c r="K40" i="3"/>
  <c r="K270" i="3"/>
  <c r="D201" i="3"/>
  <c r="K215" i="3"/>
  <c r="K289" i="3"/>
  <c r="L134" i="3"/>
  <c r="J238" i="3"/>
  <c r="F238" i="3"/>
  <c r="J39" i="3"/>
  <c r="F39" i="3"/>
  <c r="J183" i="3"/>
  <c r="F183" i="3"/>
  <c r="J269" i="3"/>
  <c r="F269" i="3"/>
  <c r="J134" i="3"/>
  <c r="F134" i="3"/>
  <c r="J40" i="3"/>
  <c r="F40" i="3"/>
  <c r="L238" i="3"/>
  <c r="D238" i="3"/>
  <c r="J111" i="3"/>
  <c r="F111" i="3"/>
  <c r="L39" i="3"/>
  <c r="D39" i="3"/>
  <c r="J102" i="3"/>
  <c r="F102" i="3"/>
  <c r="L183" i="3"/>
  <c r="D183" i="3"/>
  <c r="J215" i="3"/>
  <c r="F215" i="3"/>
  <c r="L269" i="3"/>
  <c r="D269" i="3"/>
  <c r="J70" i="3"/>
  <c r="F70" i="3"/>
  <c r="D134" i="3"/>
  <c r="J203" i="3"/>
  <c r="F203" i="3"/>
  <c r="L40" i="3"/>
  <c r="D40" i="3"/>
  <c r="K238" i="3"/>
  <c r="J270" i="3"/>
  <c r="F270" i="3"/>
  <c r="L111" i="3"/>
  <c r="D111" i="3"/>
  <c r="K39" i="3"/>
  <c r="J48" i="3"/>
  <c r="F48" i="3"/>
  <c r="L102" i="3"/>
  <c r="D102" i="3"/>
  <c r="K183" i="3"/>
  <c r="J201" i="3"/>
  <c r="F201" i="3"/>
  <c r="L215" i="3"/>
  <c r="D215" i="3"/>
  <c r="K269" i="3"/>
  <c r="J289" i="3"/>
  <c r="F289" i="3"/>
  <c r="L70" i="3"/>
  <c r="D70" i="3"/>
  <c r="M205" i="3" s="1"/>
  <c r="D125" i="3"/>
  <c r="D31" i="3"/>
  <c r="J148" i="3"/>
  <c r="K148" i="3"/>
  <c r="D3" i="3"/>
  <c r="J255" i="3"/>
  <c r="F255" i="3"/>
  <c r="J125" i="3"/>
  <c r="L108" i="3"/>
  <c r="L113" i="3"/>
  <c r="L147" i="3"/>
  <c r="L96" i="3"/>
  <c r="K147" i="3"/>
  <c r="F125" i="3"/>
  <c r="K125" i="3"/>
  <c r="D147" i="3"/>
  <c r="L283" i="3"/>
  <c r="K266" i="3"/>
  <c r="L266" i="3"/>
  <c r="K255" i="3"/>
  <c r="J147" i="3"/>
  <c r="F147" i="3"/>
  <c r="K180" i="3"/>
  <c r="D133" i="3"/>
  <c r="L67" i="3"/>
  <c r="D25" i="3"/>
  <c r="D67" i="3"/>
  <c r="D283" i="3"/>
  <c r="D105" i="3"/>
  <c r="K82" i="3"/>
  <c r="L239" i="3"/>
  <c r="L180" i="3"/>
  <c r="D180" i="3"/>
  <c r="L199" i="3"/>
  <c r="D45" i="3"/>
  <c r="D275" i="3"/>
  <c r="D166" i="3"/>
  <c r="L45" i="3"/>
  <c r="J268" i="3"/>
  <c r="F268" i="3"/>
  <c r="D268" i="3"/>
  <c r="L82" i="3"/>
  <c r="D82" i="3"/>
  <c r="D239" i="3"/>
  <c r="L275" i="3"/>
  <c r="L268" i="3"/>
  <c r="L32" i="3"/>
  <c r="D32" i="3"/>
  <c r="L105" i="3"/>
  <c r="D211" i="3"/>
  <c r="K239" i="3"/>
  <c r="L128" i="3"/>
  <c r="D128" i="3"/>
  <c r="L166" i="3"/>
  <c r="D199" i="3"/>
  <c r="K45" i="3"/>
  <c r="K32" i="3"/>
  <c r="L211" i="3"/>
  <c r="K128" i="3"/>
  <c r="J283" i="3"/>
  <c r="F283" i="3"/>
  <c r="K162" i="3"/>
  <c r="J105" i="3"/>
  <c r="F105" i="3"/>
  <c r="K197" i="3"/>
  <c r="J211" i="3"/>
  <c r="F211" i="3"/>
  <c r="K254" i="3"/>
  <c r="J275" i="3"/>
  <c r="F275" i="3"/>
  <c r="K43" i="3"/>
  <c r="J166" i="3"/>
  <c r="F166" i="3"/>
  <c r="J199" i="3"/>
  <c r="F199" i="3"/>
  <c r="D266" i="3"/>
  <c r="K290" i="3"/>
  <c r="J45" i="3"/>
  <c r="F45" i="3"/>
  <c r="J162" i="3"/>
  <c r="F162" i="3"/>
  <c r="J197" i="3"/>
  <c r="F197" i="3"/>
  <c r="J254" i="3"/>
  <c r="F254" i="3"/>
  <c r="J43" i="3"/>
  <c r="F43" i="3"/>
  <c r="J51" i="3"/>
  <c r="F51" i="3"/>
  <c r="J290" i="3"/>
  <c r="F290" i="3"/>
  <c r="J242" i="3"/>
  <c r="F242" i="3"/>
  <c r="K283" i="3"/>
  <c r="J32" i="3"/>
  <c r="F32" i="3"/>
  <c r="L162" i="3"/>
  <c r="D162" i="3"/>
  <c r="K105" i="3"/>
  <c r="J82" i="3"/>
  <c r="F82" i="3"/>
  <c r="L197" i="3"/>
  <c r="D197" i="3"/>
  <c r="K211" i="3"/>
  <c r="J239" i="3"/>
  <c r="F239" i="3"/>
  <c r="L254" i="3"/>
  <c r="D254" i="3"/>
  <c r="K275" i="3"/>
  <c r="J128" i="3"/>
  <c r="F128" i="3"/>
  <c r="L43" i="3"/>
  <c r="D43" i="3"/>
  <c r="K166" i="3"/>
  <c r="J180" i="3"/>
  <c r="F180" i="3"/>
  <c r="L51" i="3"/>
  <c r="D51" i="3"/>
  <c r="J266" i="3"/>
  <c r="F266" i="3"/>
  <c r="L290" i="3"/>
  <c r="D290" i="3"/>
  <c r="J67" i="3"/>
  <c r="F67" i="3"/>
  <c r="L242" i="3"/>
  <c r="D242" i="3"/>
  <c r="F31" i="3"/>
  <c r="F119" i="3"/>
  <c r="D57" i="3"/>
  <c r="F224" i="3"/>
  <c r="J37" i="3"/>
  <c r="J202" i="3"/>
  <c r="K16" i="3"/>
  <c r="F212" i="3"/>
  <c r="K213" i="3"/>
  <c r="D213" i="3"/>
  <c r="D109" i="3"/>
  <c r="K116" i="3"/>
  <c r="L213" i="3"/>
  <c r="L116" i="3"/>
  <c r="J213" i="3"/>
  <c r="L173" i="3"/>
  <c r="F16" i="3"/>
  <c r="D116" i="3"/>
  <c r="F116" i="3"/>
  <c r="J224" i="3"/>
  <c r="F37" i="3"/>
  <c r="F241" i="3"/>
  <c r="J106" i="3"/>
  <c r="D148" i="3"/>
  <c r="F44" i="3"/>
  <c r="K109" i="3"/>
  <c r="D5" i="3"/>
  <c r="J5" i="3"/>
  <c r="F218" i="3"/>
  <c r="F6" i="3"/>
  <c r="J57" i="3"/>
  <c r="L57" i="3"/>
  <c r="K57" i="3"/>
  <c r="L190" i="3"/>
  <c r="K121" i="3"/>
  <c r="J109" i="3"/>
  <c r="L121" i="3"/>
  <c r="K5" i="3"/>
  <c r="D139" i="3"/>
  <c r="J173" i="3"/>
  <c r="L3" i="3"/>
  <c r="F26" i="3"/>
  <c r="F3" i="3"/>
  <c r="D52" i="3"/>
  <c r="K139" i="3"/>
  <c r="D89" i="3"/>
  <c r="L202" i="3"/>
  <c r="K153" i="3"/>
  <c r="D173" i="3"/>
  <c r="K165" i="3"/>
  <c r="J165" i="3"/>
  <c r="F167" i="3"/>
  <c r="F243" i="3"/>
  <c r="D165" i="3"/>
  <c r="J153" i="3"/>
  <c r="L165" i="3"/>
  <c r="E6" i="3"/>
  <c r="J210" i="3"/>
  <c r="L172" i="3"/>
  <c r="F24" i="3"/>
  <c r="L153" i="3"/>
  <c r="D210" i="3"/>
  <c r="L6" i="3"/>
  <c r="J6" i="3"/>
  <c r="K172" i="3"/>
  <c r="J26" i="3"/>
  <c r="D26" i="3"/>
  <c r="J3" i="3"/>
  <c r="F59" i="3"/>
  <c r="F71" i="3"/>
  <c r="F100" i="3"/>
  <c r="L5" i="3"/>
  <c r="D63" i="3"/>
  <c r="L89" i="3"/>
  <c r="F35" i="3"/>
  <c r="D14" i="3"/>
  <c r="L218" i="3"/>
  <c r="D202" i="3"/>
  <c r="F139" i="3"/>
  <c r="D100" i="3"/>
  <c r="K6" i="3"/>
  <c r="K26" i="3"/>
  <c r="F190" i="3"/>
  <c r="J285" i="3"/>
  <c r="D218" i="3"/>
  <c r="J172" i="3"/>
  <c r="K3" i="3"/>
  <c r="L273" i="3"/>
  <c r="J116" i="3"/>
  <c r="L210" i="3"/>
  <c r="J44" i="3"/>
  <c r="D285" i="3"/>
  <c r="J89" i="3"/>
  <c r="E44" i="3"/>
  <c r="D273" i="3"/>
  <c r="L44" i="3"/>
  <c r="K210" i="3"/>
  <c r="L161" i="3"/>
  <c r="J139" i="3"/>
  <c r="J121" i="3"/>
  <c r="K71" i="3"/>
  <c r="D190" i="3"/>
  <c r="K59" i="3"/>
  <c r="F52" i="3"/>
  <c r="L14" i="3"/>
  <c r="L63" i="3"/>
  <c r="K234" i="3"/>
  <c r="K145" i="3"/>
  <c r="J145" i="3"/>
  <c r="K63" i="3"/>
  <c r="D145" i="3"/>
  <c r="D59" i="3"/>
  <c r="L145" i="3"/>
  <c r="J273" i="3"/>
  <c r="J71" i="3"/>
  <c r="F233" i="3"/>
  <c r="K285" i="3"/>
  <c r="K14" i="3"/>
  <c r="F86" i="3"/>
  <c r="F121" i="3"/>
  <c r="J13" i="3"/>
  <c r="L52" i="3"/>
  <c r="K89" i="3"/>
  <c r="L59" i="3"/>
  <c r="L139" i="3"/>
  <c r="L285" i="3"/>
  <c r="D153" i="3"/>
  <c r="F73" i="3"/>
  <c r="L181" i="3"/>
  <c r="F273" i="3"/>
  <c r="J98" i="3"/>
  <c r="L24" i="3"/>
  <c r="D172" i="3"/>
  <c r="K44" i="3"/>
  <c r="D181" i="3"/>
  <c r="K273" i="3"/>
  <c r="L252" i="3"/>
  <c r="K252" i="3"/>
  <c r="F5" i="3"/>
  <c r="D24" i="3"/>
  <c r="D113" i="3"/>
  <c r="J167" i="3"/>
  <c r="J113" i="3"/>
  <c r="K138" i="3"/>
  <c r="K182" i="3"/>
  <c r="D55" i="3"/>
  <c r="J24" i="3"/>
  <c r="J52" i="3"/>
  <c r="K24" i="3"/>
  <c r="D252" i="3"/>
  <c r="J252" i="3"/>
  <c r="L251" i="3"/>
  <c r="K251" i="3"/>
  <c r="K173" i="3"/>
  <c r="K100" i="3"/>
  <c r="K218" i="3"/>
  <c r="D251" i="3"/>
  <c r="J218" i="3"/>
  <c r="F173" i="3"/>
  <c r="D64" i="3"/>
  <c r="L234" i="3"/>
  <c r="L100" i="3"/>
  <c r="K190" i="3"/>
  <c r="J100" i="3"/>
  <c r="K60" i="3"/>
  <c r="K64" i="3"/>
  <c r="D108" i="3"/>
  <c r="J60" i="3"/>
  <c r="L64" i="3"/>
  <c r="J234" i="3"/>
  <c r="D60" i="3"/>
  <c r="K113" i="3"/>
  <c r="L148" i="3"/>
  <c r="D243" i="3"/>
  <c r="J64" i="3"/>
  <c r="J47" i="3"/>
  <c r="D13" i="3"/>
  <c r="L243" i="3"/>
  <c r="J251" i="3"/>
  <c r="F138" i="3"/>
  <c r="L99" i="3"/>
  <c r="D86" i="3"/>
  <c r="D121" i="3"/>
  <c r="E108" i="3"/>
  <c r="J108" i="3"/>
  <c r="K108" i="3"/>
  <c r="F234" i="3"/>
  <c r="D71" i="3"/>
  <c r="D167" i="3"/>
  <c r="L83" i="3"/>
  <c r="J235" i="3"/>
  <c r="F60" i="3"/>
  <c r="L55" i="3"/>
  <c r="J21" i="3"/>
  <c r="L98" i="3"/>
  <c r="K98" i="3"/>
  <c r="K167" i="3"/>
  <c r="K13" i="3"/>
  <c r="D235" i="3"/>
  <c r="K233" i="3"/>
  <c r="J73" i="3"/>
  <c r="D234" i="3"/>
  <c r="L71" i="3"/>
  <c r="L21" i="3"/>
  <c r="J138" i="3"/>
  <c r="D233" i="3"/>
  <c r="F109" i="3"/>
  <c r="J161" i="3"/>
  <c r="D99" i="3"/>
  <c r="K155" i="3"/>
  <c r="J86" i="3"/>
  <c r="K86" i="3"/>
  <c r="F64" i="3"/>
  <c r="J190" i="3"/>
  <c r="D138" i="3"/>
  <c r="F285" i="3"/>
  <c r="K73" i="3"/>
  <c r="F251" i="3"/>
  <c r="L235" i="3"/>
  <c r="J63" i="3"/>
  <c r="F113" i="3"/>
  <c r="J155" i="3"/>
  <c r="K21" i="3"/>
  <c r="K99" i="3"/>
  <c r="K161" i="3"/>
  <c r="D161" i="3"/>
  <c r="F132" i="3"/>
  <c r="J55" i="3"/>
  <c r="D21" i="3"/>
  <c r="F155" i="3"/>
  <c r="J233" i="3"/>
  <c r="L167" i="3"/>
  <c r="D73" i="3"/>
  <c r="D98" i="3"/>
  <c r="L182" i="3"/>
  <c r="J182" i="3"/>
  <c r="K235" i="3"/>
  <c r="L73" i="3"/>
  <c r="J14" i="3"/>
  <c r="D182" i="3"/>
  <c r="L86" i="3"/>
  <c r="L138" i="3"/>
  <c r="K55" i="3"/>
  <c r="J181" i="3"/>
  <c r="L233" i="3"/>
  <c r="K243" i="3"/>
  <c r="F99" i="3"/>
  <c r="K202" i="3"/>
  <c r="D83" i="3"/>
  <c r="F225" i="3"/>
  <c r="L13" i="3"/>
  <c r="J59" i="3"/>
  <c r="J99" i="3"/>
  <c r="K83" i="3"/>
  <c r="D19" i="3"/>
  <c r="K47" i="3"/>
  <c r="J243" i="3"/>
  <c r="F181" i="3"/>
  <c r="F153" i="3"/>
  <c r="F202" i="3"/>
  <c r="F182" i="3"/>
  <c r="K52" i="3"/>
  <c r="L60" i="3"/>
  <c r="F14" i="3"/>
  <c r="D171" i="3"/>
  <c r="F47" i="3"/>
  <c r="D155" i="3"/>
  <c r="J83" i="3"/>
  <c r="L171" i="3"/>
  <c r="L23" i="3"/>
  <c r="F11" i="3"/>
  <c r="J11" i="3"/>
  <c r="K19" i="3"/>
  <c r="L47" i="3"/>
  <c r="D11" i="3"/>
  <c r="D23" i="3"/>
  <c r="K11" i="3"/>
  <c r="D47" i="3"/>
  <c r="L11" i="3"/>
  <c r="J171" i="3"/>
  <c r="F171" i="3"/>
  <c r="K27" i="3"/>
  <c r="J19" i="3"/>
  <c r="J27" i="3"/>
  <c r="F27" i="3"/>
  <c r="L155" i="3"/>
  <c r="L27" i="3"/>
  <c r="K181" i="3"/>
  <c r="F55" i="3"/>
  <c r="D27" i="3"/>
  <c r="K23" i="3"/>
  <c r="K171" i="3"/>
  <c r="F23" i="3"/>
  <c r="J23" i="3"/>
  <c r="L19" i="3"/>
  <c r="M118" i="3" l="1"/>
  <c r="M246" i="3"/>
  <c r="M208" i="3"/>
  <c r="M87" i="3"/>
  <c r="M280" i="3"/>
  <c r="M261" i="3"/>
  <c r="M249" i="3"/>
  <c r="M78" i="3"/>
  <c r="M263" i="3"/>
  <c r="M262" i="3"/>
  <c r="M231" i="3"/>
  <c r="M152" i="3"/>
  <c r="M196" i="3"/>
  <c r="M281" i="3"/>
  <c r="M223" i="3"/>
  <c r="M232" i="3"/>
  <c r="M159" i="3"/>
  <c r="M209" i="3"/>
  <c r="M131" i="3"/>
  <c r="M279" i="3"/>
  <c r="M142" i="3"/>
  <c r="M221" i="3"/>
  <c r="M248" i="3"/>
  <c r="M222" i="3"/>
  <c r="M247" i="3"/>
  <c r="M195" i="3"/>
  <c r="M293" i="3"/>
  <c r="M151" i="3"/>
  <c r="M260" i="3"/>
  <c r="M188" i="3"/>
  <c r="M41" i="3"/>
  <c r="M137" i="3"/>
  <c r="M107" i="3"/>
  <c r="M187" i="3"/>
  <c r="M130" i="3"/>
  <c r="M157" i="3"/>
  <c r="M114" i="3"/>
  <c r="M230" i="3"/>
  <c r="M278" i="3"/>
  <c r="M258" i="3"/>
  <c r="M101" i="3"/>
  <c r="M257" i="3"/>
  <c r="M123" i="3"/>
  <c r="M158" i="3"/>
  <c r="M277" i="3"/>
  <c r="M92" i="3"/>
  <c r="M229" i="3"/>
  <c r="M141" i="3"/>
  <c r="M30" i="3"/>
  <c r="M259" i="3"/>
  <c r="M186" i="3"/>
  <c r="M136" i="3"/>
  <c r="M74" i="3"/>
  <c r="M56" i="3"/>
  <c r="M120" i="3"/>
  <c r="M72" i="3"/>
  <c r="M146" i="3"/>
  <c r="M90" i="3"/>
  <c r="M20" i="3"/>
  <c r="M193" i="3"/>
  <c r="M117" i="3"/>
  <c r="M38" i="3"/>
  <c r="M93" i="3"/>
  <c r="M185" i="3"/>
  <c r="M292" i="3"/>
  <c r="M169" i="3"/>
  <c r="M115" i="3"/>
  <c r="M174" i="3"/>
  <c r="M228" i="3"/>
  <c r="M256" i="3"/>
  <c r="M245" i="3"/>
  <c r="M194" i="3"/>
  <c r="M207" i="3"/>
  <c r="M206" i="3"/>
  <c r="M112" i="3"/>
  <c r="M216" i="3"/>
  <c r="M7" i="3"/>
  <c r="M150" i="3"/>
  <c r="M122" i="3"/>
  <c r="M189" i="3"/>
  <c r="M220" i="3"/>
  <c r="M175" i="3"/>
  <c r="M227" i="3"/>
  <c r="M127" i="3"/>
  <c r="M192" i="3"/>
  <c r="M46" i="3"/>
  <c r="M291" i="3"/>
  <c r="M94" i="3"/>
  <c r="M276" i="3"/>
  <c r="M80" i="3"/>
  <c r="M42" i="3"/>
  <c r="M135" i="3"/>
  <c r="M124" i="3"/>
  <c r="M204" i="3"/>
  <c r="M226" i="3"/>
  <c r="M77" i="3"/>
  <c r="M54" i="3"/>
  <c r="M163" i="3"/>
  <c r="M35" i="3"/>
  <c r="M33" i="3"/>
  <c r="M18" i="3"/>
  <c r="M160" i="3"/>
  <c r="M240" i="3"/>
  <c r="M110" i="3"/>
  <c r="M176" i="3"/>
  <c r="M241" i="3"/>
  <c r="M4" i="3"/>
  <c r="M69" i="3"/>
  <c r="M28" i="3"/>
  <c r="M144" i="3"/>
  <c r="M267" i="3"/>
  <c r="M179" i="3"/>
  <c r="M286" i="3"/>
  <c r="M50" i="3"/>
  <c r="M129" i="3"/>
  <c r="M154" i="3"/>
  <c r="M244" i="3"/>
  <c r="M88" i="3"/>
  <c r="M2" i="3"/>
  <c r="M79" i="3"/>
  <c r="M217" i="3"/>
  <c r="M22" i="3"/>
  <c r="M66" i="3"/>
  <c r="M237" i="3"/>
  <c r="M12" i="3"/>
  <c r="M274" i="3"/>
  <c r="M65" i="3"/>
  <c r="M133" i="3"/>
  <c r="M119" i="3"/>
  <c r="M140" i="3"/>
  <c r="M271" i="3"/>
  <c r="M200" i="3"/>
  <c r="M36" i="3"/>
  <c r="M284" i="3"/>
  <c r="M62" i="3"/>
  <c r="M10" i="3"/>
  <c r="M178" i="3"/>
  <c r="M61" i="3"/>
  <c r="M34" i="3"/>
  <c r="M15" i="3"/>
  <c r="M164" i="3"/>
  <c r="M126" i="3"/>
  <c r="M265" i="3"/>
  <c r="M84" i="3"/>
  <c r="M272" i="3"/>
  <c r="M143" i="3"/>
  <c r="M250" i="3"/>
  <c r="M104" i="3"/>
  <c r="M97" i="3"/>
  <c r="M53" i="3"/>
  <c r="M191" i="3"/>
  <c r="M17" i="3"/>
  <c r="M264" i="3"/>
  <c r="M198" i="3"/>
  <c r="M103" i="3"/>
  <c r="M236" i="3"/>
  <c r="M170" i="3"/>
  <c r="M25" i="3"/>
  <c r="M16" i="3"/>
  <c r="M9" i="3"/>
  <c r="M49" i="3"/>
  <c r="M96" i="3"/>
  <c r="M68" i="3"/>
  <c r="M156" i="3"/>
  <c r="M287" i="3"/>
  <c r="M76" i="3"/>
  <c r="M288" i="3"/>
  <c r="M255" i="3"/>
  <c r="M75" i="3"/>
  <c r="M219" i="3"/>
  <c r="M48" i="3"/>
  <c r="M85" i="3"/>
  <c r="M270" i="3"/>
  <c r="M39" i="3"/>
  <c r="M125" i="3"/>
  <c r="M289" i="3"/>
  <c r="M203" i="3"/>
  <c r="M201" i="3"/>
  <c r="M269" i="3"/>
  <c r="M111" i="3"/>
  <c r="M134" i="3"/>
  <c r="M31" i="3"/>
  <c r="M70" i="3"/>
  <c r="M215" i="3"/>
  <c r="M102" i="3"/>
  <c r="M40" i="3"/>
  <c r="M183" i="3"/>
  <c r="M238" i="3"/>
  <c r="M45" i="3"/>
  <c r="M180" i="3"/>
  <c r="M213" i="3"/>
  <c r="M239" i="3"/>
  <c r="M147" i="3"/>
  <c r="M67" i="3"/>
  <c r="M283" i="3"/>
  <c r="M32" i="3"/>
  <c r="M82" i="3"/>
  <c r="M105" i="3"/>
  <c r="M275" i="3"/>
  <c r="M266" i="3"/>
  <c r="M199" i="3"/>
  <c r="M268" i="3"/>
  <c r="M166" i="3"/>
  <c r="M128" i="3"/>
  <c r="M211" i="3"/>
  <c r="M290" i="3"/>
  <c r="M43" i="3"/>
  <c r="M197" i="3"/>
  <c r="M242" i="3"/>
  <c r="M51" i="3"/>
  <c r="M254" i="3"/>
  <c r="M162" i="3"/>
  <c r="M57" i="3"/>
  <c r="M224" i="3"/>
  <c r="M44" i="3"/>
  <c r="M116" i="3"/>
  <c r="M14" i="3"/>
  <c r="M165" i="3"/>
  <c r="M173" i="3"/>
  <c r="M29" i="3"/>
  <c r="M3" i="3"/>
  <c r="M253" i="3"/>
  <c r="M81" i="3"/>
  <c r="M168" i="3"/>
  <c r="M89" i="3"/>
  <c r="M212" i="3"/>
  <c r="M91" i="3"/>
  <c r="M214" i="3"/>
  <c r="M177" i="3"/>
  <c r="M100" i="3"/>
  <c r="M273" i="3"/>
  <c r="M145" i="3"/>
  <c r="M26" i="3"/>
  <c r="M6" i="3"/>
  <c r="M52" i="3"/>
  <c r="M139" i="3"/>
  <c r="M63" i="3"/>
  <c r="M190" i="3"/>
  <c r="M218" i="3"/>
  <c r="M172" i="3"/>
  <c r="M5" i="3"/>
  <c r="M161" i="3"/>
  <c r="M167" i="3"/>
  <c r="M252" i="3"/>
  <c r="M202" i="3"/>
  <c r="M132" i="3"/>
  <c r="M285" i="3"/>
  <c r="M121" i="3"/>
  <c r="M181" i="3"/>
  <c r="M64" i="3"/>
  <c r="M153" i="3"/>
  <c r="M138" i="3"/>
  <c r="M235" i="3"/>
  <c r="M24" i="3"/>
  <c r="M59" i="3"/>
  <c r="M86" i="3"/>
  <c r="M109" i="3"/>
  <c r="M21" i="3"/>
  <c r="M148" i="3"/>
  <c r="M225" i="3"/>
  <c r="M108" i="3"/>
  <c r="M8" i="3"/>
  <c r="M37" i="3"/>
  <c r="M95" i="3"/>
  <c r="M58" i="3"/>
  <c r="M13" i="3"/>
  <c r="M113" i="3"/>
  <c r="M71" i="3"/>
  <c r="M243" i="3"/>
  <c r="M210" i="3"/>
  <c r="M149" i="3"/>
  <c r="M106" i="3"/>
  <c r="M184" i="3"/>
  <c r="M251" i="3"/>
  <c r="M99" i="3"/>
  <c r="M55" i="3"/>
  <c r="M155" i="3"/>
  <c r="M233" i="3"/>
  <c r="M171" i="3"/>
  <c r="M19" i="3"/>
  <c r="M60" i="3"/>
  <c r="M98" i="3"/>
  <c r="M234" i="3"/>
  <c r="M83" i="3"/>
  <c r="M73" i="3"/>
  <c r="M182" i="3"/>
  <c r="M47" i="3"/>
  <c r="M23" i="3"/>
  <c r="M27" i="3"/>
  <c r="M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<sst xmlns="http://schemas.openxmlformats.org/spreadsheetml/2006/main" count="1713" uniqueCount="534">
  <si>
    <t>GameID</t>
  </si>
  <si>
    <t>Date</t>
  </si>
  <si>
    <t>URL</t>
  </si>
  <si>
    <t>Winner</t>
  </si>
  <si>
    <t>Game Duration</t>
  </si>
  <si>
    <t>Player Count</t>
  </si>
  <si>
    <t>Total Games</t>
  </si>
  <si>
    <t>Kills</t>
  </si>
  <si>
    <t>https://www.youtube.com/watch?v=M6lJ_LsCLRc</t>
  </si>
  <si>
    <t>Tracked</t>
  </si>
  <si>
    <t>https://www.youtube.com/watch?v=zjNx9hXFvAk</t>
  </si>
  <si>
    <t>NONE</t>
  </si>
  <si>
    <t>https://www.youtube.com/watch?v=3v7FioL8DQQ</t>
  </si>
  <si>
    <t>https://www.youtube.com/watch?v=bu4V_Y9th6U</t>
  </si>
  <si>
    <t>https://www.youtube.com/watch?v=OKh4b3KYraA</t>
  </si>
  <si>
    <t>https://www.youtube.com/watch?v=N4AR3osAPFU</t>
  </si>
  <si>
    <t>https://www.youtube.com/watch?v=SFX4LIiGgQA</t>
  </si>
  <si>
    <t>https://www.youtube.com/watch?v=b91lKBytRoY</t>
  </si>
  <si>
    <t>https://www.youtube.com/watch?v=OfY8RDSnJ_Q</t>
  </si>
  <si>
    <t>https://www.youtube.com/watch?v=GFInSu-wSUs</t>
  </si>
  <si>
    <t>https://www.youtube.com/watch?v=lAA40p2T6cU</t>
  </si>
  <si>
    <t>https://www.youtube.com/watch?v=E8OcnbLDR3s</t>
  </si>
  <si>
    <t>https://www.youtube.com/watch?v=8mZ45ZSDTAk</t>
  </si>
  <si>
    <t>https://www.youtube.com/watch?v=NZnSeu7DlU0</t>
  </si>
  <si>
    <t>https://www.youtube.com/watch?v=cq-AY8IxKd4</t>
  </si>
  <si>
    <t>https://www.youtube.com/watch?v=P6efds0oiYA</t>
  </si>
  <si>
    <t>https://www.youtube.com/watch?v=QLUIyMvPYW8</t>
  </si>
  <si>
    <t>https://www.youtube.com/watch?v=0A2RUCJpNWg</t>
  </si>
  <si>
    <t>https://www.youtube.com/watch?v=JIUx6hCq-1Y</t>
  </si>
  <si>
    <t>https://www.youtube.com/watch?v=KdfkB1hzquM</t>
  </si>
  <si>
    <t>https://www.youtube.com/watch?v=K__LQaiqfLA</t>
  </si>
  <si>
    <t>https://www.youtube.com/watch?v=cn-k-GOTqJQ</t>
  </si>
  <si>
    <t>https://www.youtube.com/watch?v=uRJodThhhVE</t>
  </si>
  <si>
    <t>https://www.youtube.com/watch?v=PghHk--PzGI</t>
  </si>
  <si>
    <t>https://www.youtube.com/watch?v=6mIE0cBWYMM</t>
  </si>
  <si>
    <t>https://www.youtube.com/watch?v=Pd6CPK528kg</t>
  </si>
  <si>
    <t>https://www.youtube.com/watch?v=pxqYtbLCXDk&amp;t</t>
  </si>
  <si>
    <t>https://www.youtube.com/watch?v=YXAWmgWZn3E&amp;t</t>
  </si>
  <si>
    <t>https://www.youtube.com/watch?v=xC3ucTSuAfw&amp;t</t>
  </si>
  <si>
    <t>https://www.youtube.com/watch?v=4dWRC_mWzeo</t>
  </si>
  <si>
    <t>https://www.youtube.com/watch?v=D8XO_akkGMg</t>
  </si>
  <si>
    <t>https://www.youtube.com/watch?v=nL9pIlWdaRk</t>
  </si>
  <si>
    <t>https://www.youtube.com/watch?v=5ywWRBvWskM</t>
  </si>
  <si>
    <t>https://www.youtube.com/watch?v=E489hLyUEp8</t>
  </si>
  <si>
    <t>https://www.youtube.com/watch?v=PcYeMwkzZFQ</t>
  </si>
  <si>
    <t>https://www.youtube.com/watch?v=jqpRwd3sdlU</t>
  </si>
  <si>
    <t>https://www.youtube.com/watch?v=5wninJNOAbs</t>
  </si>
  <si>
    <t>https://www.youtube.com/watch?v=JiSWPrgLLNU</t>
  </si>
  <si>
    <t>https://www.youtube.com/watch?v=-y7hut7LWPY</t>
  </si>
  <si>
    <t>https://www.youtube.com/live/xK6Gc-uA6Jo</t>
  </si>
  <si>
    <t>https://www.youtube.com/live/A_iGKADzlHo</t>
  </si>
  <si>
    <t>https://www.youtube.com/live/AKCJnOyPGLk</t>
  </si>
  <si>
    <t>https://www.youtube.com/live/pp5ki1CLvMo</t>
  </si>
  <si>
    <t>https://www.youtube.com/live/rsy_D_jgSkc</t>
  </si>
  <si>
    <t>https://www.youtube.com/live/1At94Tfa1Mw</t>
  </si>
  <si>
    <t>https://www.youtube.com/live/T4h9u3VO6_Q</t>
  </si>
  <si>
    <t>https://www.youtube.com/live/oN3E4deTPEg</t>
  </si>
  <si>
    <t>https://youtube.com/live/eeD96dmzSgo</t>
  </si>
  <si>
    <t>https://youtube.com/live/f5Z9TQVSpTU</t>
  </si>
  <si>
    <t>https://www.youtube.com/live/K5mVH8gjIjo</t>
  </si>
  <si>
    <t>https://youtube.com/live/GR47D8ptjWg</t>
  </si>
  <si>
    <t>https://www.youtube.com/live/K22C4MPsVuA</t>
  </si>
  <si>
    <t>https://www.youtube.com/live/wh0racJZS9o</t>
  </si>
  <si>
    <t>https://www.youtube.com/live/HRmrUOh7BXg</t>
  </si>
  <si>
    <t>https://youtube.com/live/4EErQsRToWU</t>
  </si>
  <si>
    <t>https://youtube.com/live/jdlsdPga2ZA</t>
  </si>
  <si>
    <t>https://youtube.com/live/u_Xwz-SCJmg</t>
  </si>
  <si>
    <t>https://youtube.com/live/ZuEQukzID-s</t>
  </si>
  <si>
    <t>https://www.youtube.com/live/a66OBdcWYRM</t>
  </si>
  <si>
    <t>https://www.youtube.com/live/4eeSOsHofvo</t>
  </si>
  <si>
    <t>https://www.youtube.com/live/i1pvUeCA-FY</t>
  </si>
  <si>
    <t>https://www.youtube.com/live/oMZhPz5f6Us</t>
  </si>
  <si>
    <t>https://www.youtube.com/live/746ztv3FKWQ</t>
  </si>
  <si>
    <t>https://www.youtube.com/live/GxD7nVn-drQ</t>
  </si>
  <si>
    <t>https://youtube.com/live/2xV38v2bxvY</t>
  </si>
  <si>
    <t>https://www.youtube.com/live/eG0nNGXhDAE</t>
  </si>
  <si>
    <t>https://www.youtube.com/live/LE2FHDGw_ZY</t>
  </si>
  <si>
    <t>https://youtube.com/live/vWvlrIOXeRg</t>
  </si>
  <si>
    <t>https://youtube.com/live/Dn0LW0bR0RU</t>
  </si>
  <si>
    <t>https://youtube.com/live/lFyz3JEe96A</t>
  </si>
  <si>
    <t>https://youtube.com/live/0iFqBriB6zY</t>
  </si>
  <si>
    <t>https://youtube.com/live/E6YcszOOkZA</t>
  </si>
  <si>
    <t>https://youtube.com/live/rklxFyIYVao</t>
  </si>
  <si>
    <t>https://www.youtube.com/live/UtWByTodLA4</t>
  </si>
  <si>
    <t>TBD</t>
  </si>
  <si>
    <t>https://youtube.com/live/aEmW6NAB8rg</t>
  </si>
  <si>
    <t>https://youtube.com/live/I6zwuL8wX-E</t>
  </si>
  <si>
    <t>https://www.youtube.com/live/-R1UF5px40s</t>
  </si>
  <si>
    <t>https://www.youtube.com/live/gXC7Rm__s6A</t>
  </si>
  <si>
    <t>https://www.youtube.com/live/nc_Pko99qjI</t>
  </si>
  <si>
    <t>https://youtube.com/live/QQIONeqdW60</t>
  </si>
  <si>
    <t>https://youtube.com/live/5hKBpMhwLS0</t>
  </si>
  <si>
    <t>https://youtube.com/live/X-XizsYuOs4</t>
  </si>
  <si>
    <t>https://www.youtube.com/live/QX-nBH9AS3s</t>
  </si>
  <si>
    <t>https://www.youtube.com/live/jcMzd2SwirE</t>
  </si>
  <si>
    <t>https://www.youtube.com/live/j-_x9ZgXsyk</t>
  </si>
  <si>
    <t>https://www.youtube.com/watch?v=WltERhchUyw</t>
  </si>
  <si>
    <t>GameDate</t>
  </si>
  <si>
    <t>Player</t>
  </si>
  <si>
    <t>Rank</t>
  </si>
  <si>
    <t>Last Turn</t>
  </si>
  <si>
    <t>Deaths</t>
  </si>
  <si>
    <t>KD</t>
  </si>
  <si>
    <t>Biggest Rival</t>
  </si>
  <si>
    <t>Comments</t>
  </si>
  <si>
    <t>SoXu</t>
  </si>
  <si>
    <t>Osb</t>
  </si>
  <si>
    <t>SodaFromHell</t>
  </si>
  <si>
    <t>Nightmare91</t>
  </si>
  <si>
    <t>xFreshNeZz</t>
  </si>
  <si>
    <t>ColdMist</t>
  </si>
  <si>
    <t>Skyrone</t>
  </si>
  <si>
    <t>Jax</t>
  </si>
  <si>
    <t>Nerla</t>
  </si>
  <si>
    <t>kektus</t>
  </si>
  <si>
    <t>Trusty</t>
  </si>
  <si>
    <t>TwoFourThree</t>
  </si>
  <si>
    <t>YesIAm</t>
  </si>
  <si>
    <t>Pugynea</t>
  </si>
  <si>
    <t>BuFuKerri</t>
  </si>
  <si>
    <t>Todesfub</t>
  </si>
  <si>
    <t>iceghost</t>
  </si>
  <si>
    <t>StarDrifter</t>
  </si>
  <si>
    <t>INSANEMONKEY</t>
  </si>
  <si>
    <t>TENGIL</t>
  </si>
  <si>
    <t>Powerstroke1</t>
  </si>
  <si>
    <t>Ernest1s</t>
  </si>
  <si>
    <t>OsB</t>
  </si>
  <si>
    <t>UniK</t>
  </si>
  <si>
    <t>morythin</t>
  </si>
  <si>
    <t>Derreger420</t>
  </si>
  <si>
    <t>easterbunny</t>
  </si>
  <si>
    <t>PowerStroke1</t>
  </si>
  <si>
    <t>ShimodaJones</t>
  </si>
  <si>
    <t>baboonboy</t>
  </si>
  <si>
    <t>WageGap</t>
  </si>
  <si>
    <t>Pleomond</t>
  </si>
  <si>
    <t>EagLeCrackV</t>
  </si>
  <si>
    <t>LcR131n</t>
  </si>
  <si>
    <t>EriktheGreat</t>
  </si>
  <si>
    <t>Dauda</t>
  </si>
  <si>
    <t>Ev1LTigER</t>
  </si>
  <si>
    <t>MinaMoto</t>
  </si>
  <si>
    <t>Jirenuber</t>
  </si>
  <si>
    <t>Darkknight</t>
  </si>
  <si>
    <t>GDArchangel</t>
  </si>
  <si>
    <t>Certitude</t>
  </si>
  <si>
    <t>Cranky</t>
  </si>
  <si>
    <t>SilverHawk</t>
  </si>
  <si>
    <t>kizzp</t>
  </si>
  <si>
    <t>girthquake</t>
  </si>
  <si>
    <t>PhantomLIG8</t>
  </si>
  <si>
    <t>Tbone</t>
  </si>
  <si>
    <t>Kapil</t>
  </si>
  <si>
    <t>CryptoSense</t>
  </si>
  <si>
    <t>Easterbunny</t>
  </si>
  <si>
    <t>Stardrifter</t>
  </si>
  <si>
    <t>Soxu</t>
  </si>
  <si>
    <t>Unknown</t>
  </si>
  <si>
    <t>Arfan</t>
  </si>
  <si>
    <t>LeviAckerman</t>
  </si>
  <si>
    <t>idorobots</t>
  </si>
  <si>
    <t>Kaov</t>
  </si>
  <si>
    <t>Delroy</t>
  </si>
  <si>
    <t>Taptheslap</t>
  </si>
  <si>
    <t>cadiz32</t>
  </si>
  <si>
    <t>DarkKnight</t>
  </si>
  <si>
    <t>scourgelord</t>
  </si>
  <si>
    <t>Dernos</t>
  </si>
  <si>
    <t>yesiam</t>
  </si>
  <si>
    <t>kremon</t>
  </si>
  <si>
    <t>kapil</t>
  </si>
  <si>
    <t>noswear</t>
  </si>
  <si>
    <t>Idorobots</t>
  </si>
  <si>
    <t>EagleCrackV</t>
  </si>
  <si>
    <t>Tempus</t>
  </si>
  <si>
    <t>Pikachu</t>
  </si>
  <si>
    <t>radmantis</t>
  </si>
  <si>
    <t>Scourgelord</t>
  </si>
  <si>
    <t>Aya</t>
  </si>
  <si>
    <t>SMW</t>
  </si>
  <si>
    <t>Finicky</t>
  </si>
  <si>
    <t>Sir8ob</t>
  </si>
  <si>
    <t>Sapphirez</t>
  </si>
  <si>
    <t>Firdo</t>
  </si>
  <si>
    <t>HAI</t>
  </si>
  <si>
    <t>mortlock</t>
  </si>
  <si>
    <t>KloXu</t>
  </si>
  <si>
    <t>hasooon</t>
  </si>
  <si>
    <t>YajKMA</t>
  </si>
  <si>
    <t>Waffle</t>
  </si>
  <si>
    <t>Nicolai95</t>
  </si>
  <si>
    <t>TwistyMcPink</t>
  </si>
  <si>
    <t>Mokkalokka</t>
  </si>
  <si>
    <t>Guratas</t>
  </si>
  <si>
    <t>Quetra</t>
  </si>
  <si>
    <t>Disconnected</t>
  </si>
  <si>
    <t>Universe</t>
  </si>
  <si>
    <t>Dirican</t>
  </si>
  <si>
    <t>tbatch1</t>
  </si>
  <si>
    <t>sordak</t>
  </si>
  <si>
    <t>Aventurier</t>
  </si>
  <si>
    <t>Obli</t>
  </si>
  <si>
    <t>Wagegap</t>
  </si>
  <si>
    <t>Greenrust</t>
  </si>
  <si>
    <t>Poomonky</t>
  </si>
  <si>
    <t>Smoko21</t>
  </si>
  <si>
    <t>FluffiFluf</t>
  </si>
  <si>
    <t>Weik</t>
  </si>
  <si>
    <t>Krogiloid</t>
  </si>
  <si>
    <t>Fredrik</t>
  </si>
  <si>
    <t>Inbreeder</t>
  </si>
  <si>
    <t>Dkang</t>
  </si>
  <si>
    <t>Mortlock</t>
  </si>
  <si>
    <t>OleYeller</t>
  </si>
  <si>
    <t>Swedishpro</t>
  </si>
  <si>
    <t>Fanka</t>
  </si>
  <si>
    <t>DeKaL</t>
  </si>
  <si>
    <t>Balboa</t>
  </si>
  <si>
    <t>SABEEE</t>
  </si>
  <si>
    <t>Saladin</t>
  </si>
  <si>
    <t>Zernez</t>
  </si>
  <si>
    <t>Rollitupbaby</t>
  </si>
  <si>
    <t>Minamoto</t>
  </si>
  <si>
    <t>XfreshNeZz</t>
  </si>
  <si>
    <t>OSB</t>
  </si>
  <si>
    <t>CrazySicko</t>
  </si>
  <si>
    <t>OleYellow</t>
  </si>
  <si>
    <t>Sly125</t>
  </si>
  <si>
    <t>Freshcurls</t>
  </si>
  <si>
    <t>CivPunisher</t>
  </si>
  <si>
    <t>iMrDoom</t>
  </si>
  <si>
    <t>Riskstoner</t>
  </si>
  <si>
    <t>Benjamin</t>
  </si>
  <si>
    <t>Mike</t>
  </si>
  <si>
    <t>Chaos</t>
  </si>
  <si>
    <t>roflmaooo</t>
  </si>
  <si>
    <t>powerstroke1</t>
  </si>
  <si>
    <t>Luciniel</t>
  </si>
  <si>
    <t>gdarchangel</t>
  </si>
  <si>
    <t>AwesomeGuy</t>
  </si>
  <si>
    <t>egernpaetben</t>
  </si>
  <si>
    <t>Drayden517</t>
  </si>
  <si>
    <t>none</t>
  </si>
  <si>
    <t>tdawg</t>
  </si>
  <si>
    <t>msciworld</t>
  </si>
  <si>
    <t>nicolai95</t>
  </si>
  <si>
    <t>derreger420</t>
  </si>
  <si>
    <t>mono</t>
  </si>
  <si>
    <t>leviackerman</t>
  </si>
  <si>
    <t>einz</t>
  </si>
  <si>
    <t>finicky</t>
  </si>
  <si>
    <t>smoko21</t>
  </si>
  <si>
    <t>noctis</t>
  </si>
  <si>
    <t>nightmare91</t>
  </si>
  <si>
    <t>trusty</t>
  </si>
  <si>
    <t>zernez</t>
  </si>
  <si>
    <t>nitsche</t>
  </si>
  <si>
    <t>freshcurls</t>
  </si>
  <si>
    <t>harakiri</t>
  </si>
  <si>
    <t>untildeath</t>
  </si>
  <si>
    <t>toothbrusher</t>
  </si>
  <si>
    <t>monsalo</t>
  </si>
  <si>
    <t>smw</t>
  </si>
  <si>
    <t>minamoto</t>
  </si>
  <si>
    <t>darkknight</t>
  </si>
  <si>
    <t>coldmist</t>
  </si>
  <si>
    <t>smokey</t>
  </si>
  <si>
    <t>reddragon</t>
  </si>
  <si>
    <t>drugvalter</t>
  </si>
  <si>
    <t>filthyhippy</t>
  </si>
  <si>
    <t>yoboiskittle</t>
  </si>
  <si>
    <t>mortengf</t>
  </si>
  <si>
    <t>heckman</t>
  </si>
  <si>
    <t>erikthegreat</t>
  </si>
  <si>
    <t>ErikTheGreat</t>
  </si>
  <si>
    <t>MSCIWORLD</t>
  </si>
  <si>
    <t>deprener</t>
  </si>
  <si>
    <t>mappy</t>
  </si>
  <si>
    <t>swanlee</t>
  </si>
  <si>
    <t>aventurier</t>
  </si>
  <si>
    <t>comboe</t>
  </si>
  <si>
    <t>bambucha21</t>
  </si>
  <si>
    <t>sircogollo</t>
  </si>
  <si>
    <t>fipsinger</t>
  </si>
  <si>
    <t>sryisuck</t>
  </si>
  <si>
    <t>ivantm</t>
  </si>
  <si>
    <t>marros</t>
  </si>
  <si>
    <t>levi</t>
  </si>
  <si>
    <t>taptheslap</t>
  </si>
  <si>
    <t>msciwold</t>
  </si>
  <si>
    <t>kloxu</t>
  </si>
  <si>
    <t>chaos</t>
  </si>
  <si>
    <t>nextlevel019</t>
  </si>
  <si>
    <t>noctic</t>
  </si>
  <si>
    <t>theflay</t>
  </si>
  <si>
    <t>yuri</t>
  </si>
  <si>
    <t>ratuni</t>
  </si>
  <si>
    <t>moist</t>
  </si>
  <si>
    <t>Coldmist</t>
  </si>
  <si>
    <t>irvipeaceful</t>
  </si>
  <si>
    <t>soxu</t>
  </si>
  <si>
    <t>glob3lz</t>
  </si>
  <si>
    <t>dane</t>
  </si>
  <si>
    <t>ziggy</t>
  </si>
  <si>
    <t>ratty</t>
  </si>
  <si>
    <t>overthrow</t>
  </si>
  <si>
    <t>lj2100</t>
  </si>
  <si>
    <t>jimpansos</t>
  </si>
  <si>
    <t>lobban</t>
  </si>
  <si>
    <t>dirican</t>
  </si>
  <si>
    <t>philwithaces</t>
  </si>
  <si>
    <t>kingsgambit</t>
  </si>
  <si>
    <t>hrdielko</t>
  </si>
  <si>
    <t>jirenuber</t>
  </si>
  <si>
    <t>arkas</t>
  </si>
  <si>
    <t>risknotlego</t>
  </si>
  <si>
    <t>kosmopolit</t>
  </si>
  <si>
    <t>checkmate</t>
  </si>
  <si>
    <t>grumpypants</t>
  </si>
  <si>
    <t>Eaglecrackv</t>
  </si>
  <si>
    <t>mokkalokka</t>
  </si>
  <si>
    <t>eaglecrackv</t>
  </si>
  <si>
    <t>madmartigan</t>
  </si>
  <si>
    <t>notes</t>
  </si>
  <si>
    <t>ssonney</t>
  </si>
  <si>
    <t>brotalisdk</t>
  </si>
  <si>
    <t>karat88</t>
  </si>
  <si>
    <t>Swanlee</t>
  </si>
  <si>
    <t>None</t>
  </si>
  <si>
    <t>TDawg</t>
  </si>
  <si>
    <t>Jakob</t>
  </si>
  <si>
    <t>Reddragon</t>
  </si>
  <si>
    <t>jakob</t>
  </si>
  <si>
    <t>DarKnight</t>
  </si>
  <si>
    <t>Karakiri</t>
  </si>
  <si>
    <t>Schneemann</t>
  </si>
  <si>
    <t>CREATION</t>
  </si>
  <si>
    <t>aureus</t>
  </si>
  <si>
    <t>schneemann</t>
  </si>
  <si>
    <t>fakowee</t>
  </si>
  <si>
    <t>supercereal</t>
  </si>
  <si>
    <t>Circa</t>
  </si>
  <si>
    <t>Radiant</t>
  </si>
  <si>
    <t>Smw</t>
  </si>
  <si>
    <t>Heckman</t>
  </si>
  <si>
    <t>BioBenji</t>
  </si>
  <si>
    <t>Harakiri</t>
  </si>
  <si>
    <t>Boxmuncher</t>
  </si>
  <si>
    <t>Cadiz32</t>
  </si>
  <si>
    <t>EastofEden</t>
  </si>
  <si>
    <t>yorghul</t>
  </si>
  <si>
    <t>biobenji</t>
  </si>
  <si>
    <t>Notes</t>
  </si>
  <si>
    <t>Pilsner22</t>
  </si>
  <si>
    <t>Aquarisk</t>
  </si>
  <si>
    <t>FremderWolf</t>
  </si>
  <si>
    <t>Freuh</t>
  </si>
  <si>
    <t>Dekal</t>
  </si>
  <si>
    <t>Dedc3</t>
  </si>
  <si>
    <t>Cokeified</t>
  </si>
  <si>
    <t>mrham</t>
  </si>
  <si>
    <t>circa</t>
  </si>
  <si>
    <t>walfthewolf</t>
  </si>
  <si>
    <t>lukascz</t>
  </si>
  <si>
    <t>teachmehow</t>
  </si>
  <si>
    <t>dedc3</t>
  </si>
  <si>
    <t>Happyfeet</t>
  </si>
  <si>
    <t>TheRedBeard</t>
  </si>
  <si>
    <t>HappyFeet</t>
  </si>
  <si>
    <t>Tdawg</t>
  </si>
  <si>
    <t>HaraKiri</t>
  </si>
  <si>
    <t>dekal</t>
  </si>
  <si>
    <t>wmaurer</t>
  </si>
  <si>
    <t>Fluffy</t>
  </si>
  <si>
    <t>Schneejager</t>
  </si>
  <si>
    <t>Monsalo</t>
  </si>
  <si>
    <t>inwenis</t>
  </si>
  <si>
    <t>merkz</t>
  </si>
  <si>
    <t>SChneejager</t>
  </si>
  <si>
    <t>Recon</t>
  </si>
  <si>
    <t>buntownik</t>
  </si>
  <si>
    <t>EvilPenguin</t>
  </si>
  <si>
    <t>Rocbury</t>
  </si>
  <si>
    <t>Jeppe</t>
  </si>
  <si>
    <t>Inwenis</t>
  </si>
  <si>
    <t>Chaotic</t>
  </si>
  <si>
    <t>Yoboiskittle</t>
  </si>
  <si>
    <t>Madmartigan</t>
  </si>
  <si>
    <t>Mrham</t>
  </si>
  <si>
    <t>mardmartigan</t>
  </si>
  <si>
    <t>AyyeBreh</t>
  </si>
  <si>
    <t>ayyebreh</t>
  </si>
  <si>
    <t>schneejager</t>
  </si>
  <si>
    <t>Demos</t>
  </si>
  <si>
    <t>happyfeet</t>
  </si>
  <si>
    <t>IrviPeaceful</t>
  </si>
  <si>
    <t>Mansis</t>
  </si>
  <si>
    <t>Luna</t>
  </si>
  <si>
    <t>DTS</t>
  </si>
  <si>
    <t>xFreshnezz</t>
  </si>
  <si>
    <t>skyriext</t>
  </si>
  <si>
    <t>ScarletLord</t>
  </si>
  <si>
    <t>GDarchangel</t>
  </si>
  <si>
    <t>merton</t>
  </si>
  <si>
    <t>chaotic</t>
  </si>
  <si>
    <t>YoBoiSkittle</t>
  </si>
  <si>
    <t>Wonderscore</t>
  </si>
  <si>
    <t>HobbitSlayer</t>
  </si>
  <si>
    <t>Extrahammer</t>
  </si>
  <si>
    <t>Scarlet</t>
  </si>
  <si>
    <t>Kiva</t>
  </si>
  <si>
    <t>SnoesHusband</t>
  </si>
  <si>
    <t>MrHam</t>
  </si>
  <si>
    <t>Deprener</t>
  </si>
  <si>
    <t>SchneeJager</t>
  </si>
  <si>
    <t>Merton</t>
  </si>
  <si>
    <t>Scrimshaw</t>
  </si>
  <si>
    <t>1370H55V</t>
  </si>
  <si>
    <t>KingsGambit</t>
  </si>
  <si>
    <t>OnoMonte</t>
  </si>
  <si>
    <t>NeoC0mplex</t>
  </si>
  <si>
    <t>MallRats</t>
  </si>
  <si>
    <t>UntilDeath</t>
  </si>
  <si>
    <t>Toothbrusher</t>
  </si>
  <si>
    <t>manimalist</t>
  </si>
  <si>
    <t>Murlockin</t>
  </si>
  <si>
    <t>LukasCz</t>
  </si>
  <si>
    <t>Ghost</t>
  </si>
  <si>
    <t>mappY</t>
  </si>
  <si>
    <t>HaRaKiRi</t>
  </si>
  <si>
    <t>Redbeard</t>
  </si>
  <si>
    <t>Mappy</t>
  </si>
  <si>
    <t>Trees</t>
  </si>
  <si>
    <t>Sauc3</t>
  </si>
  <si>
    <t>Khargoz</t>
  </si>
  <si>
    <t>Fingolfin</t>
  </si>
  <si>
    <t>RiskNotLego</t>
  </si>
  <si>
    <t>xFreshneZz</t>
  </si>
  <si>
    <t>Popcorn</t>
  </si>
  <si>
    <t>Cadiz</t>
  </si>
  <si>
    <t>Sylvos</t>
  </si>
  <si>
    <t>LUCE</t>
  </si>
  <si>
    <t>ErvwinRommel</t>
  </si>
  <si>
    <t>Hikimori</t>
  </si>
  <si>
    <t>Rammsteins</t>
  </si>
  <si>
    <t>Kron</t>
  </si>
  <si>
    <t>tbatch</t>
  </si>
  <si>
    <t>SMHerbs</t>
  </si>
  <si>
    <t>krampus</t>
  </si>
  <si>
    <t>Wolveren</t>
  </si>
  <si>
    <t>Apodyopsis</t>
  </si>
  <si>
    <t>VaraKana</t>
  </si>
  <si>
    <t>WeJustPixel</t>
  </si>
  <si>
    <t>Faker</t>
  </si>
  <si>
    <t>catrabbit</t>
  </si>
  <si>
    <t>SleepyJoe</t>
  </si>
  <si>
    <t>Kloxu</t>
  </si>
  <si>
    <t>Finwe</t>
  </si>
  <si>
    <t>BattlePants</t>
  </si>
  <si>
    <t>bambucha</t>
  </si>
  <si>
    <t>cranky</t>
  </si>
  <si>
    <t>Vixen</t>
  </si>
  <si>
    <t>imawesome</t>
  </si>
  <si>
    <t>Slime</t>
  </si>
  <si>
    <t>Mokkaiokka</t>
  </si>
  <si>
    <t>RedBlood3</t>
  </si>
  <si>
    <t>MrDrStef</t>
  </si>
  <si>
    <t>Walid</t>
  </si>
  <si>
    <t>Voljin</t>
  </si>
  <si>
    <t>inwents</t>
  </si>
  <si>
    <t>Deens</t>
  </si>
  <si>
    <t>Strider</t>
  </si>
  <si>
    <t>Stax</t>
  </si>
  <si>
    <t>WhiteDeath</t>
  </si>
  <si>
    <t>Ifeelya</t>
  </si>
  <si>
    <t>mikeyz7</t>
  </si>
  <si>
    <t>Ando</t>
  </si>
  <si>
    <t>Ogun</t>
  </si>
  <si>
    <t>Nevill</t>
  </si>
  <si>
    <t>ARTIGOT</t>
  </si>
  <si>
    <t>kararpvp</t>
  </si>
  <si>
    <t>Milk</t>
  </si>
  <si>
    <t>Schatzgoblin</t>
  </si>
  <si>
    <t>MiniMoto</t>
  </si>
  <si>
    <t>Xplay2511</t>
  </si>
  <si>
    <t>Edboii</t>
  </si>
  <si>
    <t>NoRiskNoFun</t>
  </si>
  <si>
    <t>HaraKiRI</t>
  </si>
  <si>
    <t>ShockZ</t>
  </si>
  <si>
    <t>HaraKiRi</t>
  </si>
  <si>
    <t>QuirkyTurtle</t>
  </si>
  <si>
    <t>DROP</t>
  </si>
  <si>
    <t>sdasdas</t>
  </si>
  <si>
    <t>ReinhartOnly</t>
  </si>
  <si>
    <t>Neo</t>
  </si>
  <si>
    <t>DeKal</t>
  </si>
  <si>
    <t>Lukascz</t>
  </si>
  <si>
    <t>Samir</t>
  </si>
  <si>
    <t>Draeme</t>
  </si>
  <si>
    <t>Wins</t>
  </si>
  <si>
    <t>Games Played</t>
  </si>
  <si>
    <t>Win Rate</t>
  </si>
  <si>
    <t>AVG Placement</t>
  </si>
  <si>
    <t>Total Rival Count</t>
  </si>
  <si>
    <t>Total Kills</t>
  </si>
  <si>
    <t>Total Deaths</t>
  </si>
  <si>
    <t>AVG Kills</t>
  </si>
  <si>
    <t>AVG Deaths</t>
  </si>
  <si>
    <t>AVG Rival Count</t>
  </si>
  <si>
    <t>ELO</t>
  </si>
  <si>
    <t>First Played</t>
  </si>
  <si>
    <t>Last Played</t>
  </si>
  <si>
    <t>Active</t>
  </si>
  <si>
    <t>Secret sauce ELO model</t>
  </si>
  <si>
    <t>(WinrateWeight * (WinrateCell)) + (AvgPlacementWeight * (1/AvgPlacementCell)) + (KDWeight * KDCell) + (AvgRivalsWeight * AvgRivalsCell)</t>
  </si>
  <si>
    <t>Weight</t>
  </si>
  <si>
    <t>Winrate</t>
  </si>
  <si>
    <t>AVG rivals</t>
  </si>
  <si>
    <t>Official</t>
  </si>
  <si>
    <t>Alternate</t>
  </si>
  <si>
    <t>Win %</t>
  </si>
  <si>
    <t>Placement</t>
  </si>
  <si>
    <t>Rival Elo</t>
  </si>
  <si>
    <t>AVG Rival</t>
  </si>
  <si>
    <t>AVG Mod</t>
  </si>
  <si>
    <t>Win Percentage</t>
  </si>
  <si>
    <t>Mod</t>
  </si>
  <si>
    <t>number for weight</t>
  </si>
  <si>
    <t>Elo</t>
  </si>
  <si>
    <t>Elo output</t>
  </si>
  <si>
    <t>Games Won</t>
  </si>
  <si>
    <t>Win rate</t>
  </si>
  <si>
    <t>.5-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</si>
</sst>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scheme val="minor"/>
    </font>
    <font>
      <b/>
      <sz val="16"/>
      <color theme="1"/>
      <name val="Aptos Narrow"/>
      <family val="2"/>
      <scheme val="minor"/>
    </font>
    <font>
      <sz val="11"/>
      <color rgb="FF3F3F76"/>
      <name val="Calibri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5" fillId="6" borderId="2" applyNumberFormat="0" applyAlignment="0" applyProtection="0"/>
  </cellStyleXfs>
  <cellXfs count="51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1" applyFont="1" applyFill="1" applyBorder="1"/>
    <xf numFmtId="0" fontId="4" fillId="4" borderId="1" xfId="1" applyFont="1" applyFill="1" applyBorder="1"/>
    <xf numFmtId="0" fontId="4" fillId="4" borderId="1" xfId="1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2" fontId="0" fillId="5" borderId="0" xfId="0" applyNumberFormat="1" applyFill="1"/>
    <xf numFmtId="0" fontId="0" fillId="5" borderId="0" xfId="0" quotePrefix="1" applyFill="1"/>
    <xf numFmtId="0" fontId="6" fillId="5" borderId="0" xfId="0" applyFont="1" applyFill="1"/>
    <xf numFmtId="0" fontId="5" fillId="6" borderId="2" xfId="3"/>
    <xf numFmtId="0" fontId="7" fillId="6" borderId="2" xfId="3" applyFont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5" borderId="0" xfId="0" applyNumberFormat="1" applyFill="1" applyAlignment="1">
      <alignment horizontal="left"/>
    </xf>
    <xf numFmtId="0" fontId="4" fillId="5" borderId="0" xfId="0" applyFont="1" applyFill="1" applyAlignment="1">
      <alignment horizontal="left"/>
    </xf>
    <xf numFmtId="14" fontId="4" fillId="5" borderId="0" xfId="0" applyNumberFormat="1" applyFont="1" applyFill="1" applyAlignment="1">
      <alignment horizontal="left"/>
    </xf>
    <xf numFmtId="9" fontId="0" fillId="0" borderId="0" xfId="2" applyFont="1"/>
    <xf numFmtId="0" fontId="4" fillId="7" borderId="1" xfId="0" applyFont="1" applyFill="1" applyBorder="1" applyAlignment="1">
      <alignment horizontal="left"/>
    </xf>
    <xf numFmtId="14" fontId="4" fillId="7" borderId="1" xfId="0" applyNumberFormat="1" applyFont="1" applyFill="1" applyBorder="1" applyAlignment="1">
      <alignment horizontal="left"/>
    </xf>
    <xf numFmtId="0" fontId="4" fillId="7" borderId="1" xfId="1" applyFont="1" applyFill="1" applyBorder="1"/>
    <xf numFmtId="0" fontId="4" fillId="7" borderId="1" xfId="1" applyFont="1" applyFill="1" applyBorder="1" applyAlignment="1">
      <alignment horizontal="left"/>
    </xf>
    <xf numFmtId="0" fontId="4" fillId="7" borderId="1" xfId="1" applyFont="1" applyFill="1" applyBorder="1" applyAlignment="1">
      <alignment horizontal="center"/>
    </xf>
    <xf numFmtId="0" fontId="2" fillId="7" borderId="1" xfId="1" applyFill="1" applyBorder="1"/>
    <xf numFmtId="0" fontId="4" fillId="7" borderId="1" xfId="0" applyFont="1" applyFill="1" applyBorder="1"/>
  </cellXfs>
  <cellStyles count="4">
    <cellStyle name="Hyperlink" xfId="1" builtinId="8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D8XO_akkGMg" TargetMode="External"/><Relationship Id="rId21" Type="http://schemas.openxmlformats.org/officeDocument/2006/relationships/hyperlink" Target="https://www.youtube.com/watch?v=uRJodThhhVE" TargetMode="External"/><Relationship Id="rId42" Type="http://schemas.openxmlformats.org/officeDocument/2006/relationships/hyperlink" Target="https://www.youtube.com/live/rsy_D_jgSkc" TargetMode="External"/><Relationship Id="rId47" Type="http://schemas.openxmlformats.org/officeDocument/2006/relationships/hyperlink" Target="https://youtube.com/live/f5Z9TQVSpTU" TargetMode="External"/><Relationship Id="rId63" Type="http://schemas.openxmlformats.org/officeDocument/2006/relationships/hyperlink" Target="https://youtube.com/live/2xV38v2bxvY" TargetMode="External"/><Relationship Id="rId68" Type="http://schemas.openxmlformats.org/officeDocument/2006/relationships/hyperlink" Target="https://youtube.com/live/rklxFyIYVao" TargetMode="External"/><Relationship Id="rId84" Type="http://schemas.openxmlformats.org/officeDocument/2006/relationships/hyperlink" Target="https://youtube.com/live/E6YcszOOkZA" TargetMode="External"/><Relationship Id="rId16" Type="http://schemas.openxmlformats.org/officeDocument/2006/relationships/hyperlink" Target="https://www.youtube.com/watch?v=0A2RUCJpNWg" TargetMode="External"/><Relationship Id="rId11" Type="http://schemas.openxmlformats.org/officeDocument/2006/relationships/hyperlink" Target="https://www.youtube.com/watch?v=8mZ45ZSDTAk" TargetMode="External"/><Relationship Id="rId32" Type="http://schemas.openxmlformats.org/officeDocument/2006/relationships/hyperlink" Target="https://www.youtube.com/watch?v=E489hLyUEp8" TargetMode="External"/><Relationship Id="rId37" Type="http://schemas.openxmlformats.org/officeDocument/2006/relationships/hyperlink" Target="https://www.youtube.com/watch?v=-y7hut7LWPY" TargetMode="External"/><Relationship Id="rId53" Type="http://schemas.openxmlformats.org/officeDocument/2006/relationships/hyperlink" Target="https://youtube.com/live/4EErQsRToWU" TargetMode="External"/><Relationship Id="rId58" Type="http://schemas.openxmlformats.org/officeDocument/2006/relationships/hyperlink" Target="https://www.youtube.com/live/4eeSOsHofvo" TargetMode="External"/><Relationship Id="rId74" Type="http://schemas.openxmlformats.org/officeDocument/2006/relationships/hyperlink" Target="https://youtube.com/live/QQIONeqdW60" TargetMode="External"/><Relationship Id="rId79" Type="http://schemas.openxmlformats.org/officeDocument/2006/relationships/hyperlink" Target="https://www.youtube.com/live/j-_x9ZgXsyk" TargetMode="External"/><Relationship Id="rId5" Type="http://schemas.openxmlformats.org/officeDocument/2006/relationships/hyperlink" Target="https://www.youtube.com/watch?v=N4AR3osAPFU" TargetMode="External"/><Relationship Id="rId19" Type="http://schemas.openxmlformats.org/officeDocument/2006/relationships/hyperlink" Target="https://www.youtube.com/watch?v=K__LQaiqfLA" TargetMode="External"/><Relationship Id="rId14" Type="http://schemas.openxmlformats.org/officeDocument/2006/relationships/hyperlink" Target="https://www.youtube.com/watch?v=P6efds0oiYA" TargetMode="External"/><Relationship Id="rId22" Type="http://schemas.openxmlformats.org/officeDocument/2006/relationships/hyperlink" Target="https://www.youtube.com/watch?v=PghHk--PzGI" TargetMode="External"/><Relationship Id="rId27" Type="http://schemas.openxmlformats.org/officeDocument/2006/relationships/hyperlink" Target="https://www.youtube.com/watch?v=4dWRC_mWzeo" TargetMode="External"/><Relationship Id="rId30" Type="http://schemas.openxmlformats.org/officeDocument/2006/relationships/hyperlink" Target="https://www.youtube.com/watch?v=nL9pIlWdaRk" TargetMode="External"/><Relationship Id="rId35" Type="http://schemas.openxmlformats.org/officeDocument/2006/relationships/hyperlink" Target="https://www.youtube.com/watch?v=5wninJNOAbs" TargetMode="External"/><Relationship Id="rId43" Type="http://schemas.openxmlformats.org/officeDocument/2006/relationships/hyperlink" Target="https://www.youtube.com/live/1At94Tfa1Mw" TargetMode="External"/><Relationship Id="rId48" Type="http://schemas.openxmlformats.org/officeDocument/2006/relationships/hyperlink" Target="https://www.youtube.com/live/K5mVH8gjIjo" TargetMode="External"/><Relationship Id="rId56" Type="http://schemas.openxmlformats.org/officeDocument/2006/relationships/hyperlink" Target="https://youtube.com/live/ZuEQukzID-s" TargetMode="External"/><Relationship Id="rId64" Type="http://schemas.openxmlformats.org/officeDocument/2006/relationships/hyperlink" Target="https://www.youtube.com/live/eG0nNGXhDAE" TargetMode="External"/><Relationship Id="rId69" Type="http://schemas.openxmlformats.org/officeDocument/2006/relationships/hyperlink" Target="https://www.youtube.com/live/UtWByTodLA4" TargetMode="External"/><Relationship Id="rId77" Type="http://schemas.openxmlformats.org/officeDocument/2006/relationships/hyperlink" Target="https://www.youtube.com/live/QX-nBH9AS3s" TargetMode="External"/><Relationship Id="rId8" Type="http://schemas.openxmlformats.org/officeDocument/2006/relationships/hyperlink" Target="https://www.youtube.com/watch?v=OfY8RDSnJ_Q" TargetMode="External"/><Relationship Id="rId51" Type="http://schemas.openxmlformats.org/officeDocument/2006/relationships/hyperlink" Target="https://www.youtube.com/live/wh0racJZS9o" TargetMode="External"/><Relationship Id="rId72" Type="http://schemas.openxmlformats.org/officeDocument/2006/relationships/hyperlink" Target="https://www.youtube.com/live/-R1UF5px40s" TargetMode="External"/><Relationship Id="rId80" Type="http://schemas.openxmlformats.org/officeDocument/2006/relationships/hyperlink" Target="https://www.youtube.com/watch?v=WltERhchUyw" TargetMode="External"/><Relationship Id="rId85" Type="http://schemas.openxmlformats.org/officeDocument/2006/relationships/hyperlink" Target="https://youtube.com/live/0iFqBriB6zY" TargetMode="External"/><Relationship Id="rId3" Type="http://schemas.openxmlformats.org/officeDocument/2006/relationships/hyperlink" Target="https://www.youtube.com/watch?v=bu4V_Y9th6U" TargetMode="External"/><Relationship Id="rId12" Type="http://schemas.openxmlformats.org/officeDocument/2006/relationships/hyperlink" Target="https://www.youtube.com/watch?v=NZnSeu7DlU0" TargetMode="External"/><Relationship Id="rId17" Type="http://schemas.openxmlformats.org/officeDocument/2006/relationships/hyperlink" Target="https://www.youtube.com/watch?v=JIUx6hCq-1Y" TargetMode="External"/><Relationship Id="rId25" Type="http://schemas.openxmlformats.org/officeDocument/2006/relationships/hyperlink" Target="https://www.youtube.com/watch?v=pxqYtbLCXDk&amp;t" TargetMode="External"/><Relationship Id="rId33" Type="http://schemas.openxmlformats.org/officeDocument/2006/relationships/hyperlink" Target="https://www.youtube.com/watch?v=PcYeMwkzZFQ" TargetMode="External"/><Relationship Id="rId38" Type="http://schemas.openxmlformats.org/officeDocument/2006/relationships/hyperlink" Target="https://www.youtube.com/live/xK6Gc-uA6Jo" TargetMode="External"/><Relationship Id="rId46" Type="http://schemas.openxmlformats.org/officeDocument/2006/relationships/hyperlink" Target="https://youtube.com/live/eeD96dmzSgo" TargetMode="External"/><Relationship Id="rId59" Type="http://schemas.openxmlformats.org/officeDocument/2006/relationships/hyperlink" Target="https://www.youtube.com/live/i1pvUeCA-FY" TargetMode="External"/><Relationship Id="rId67" Type="http://schemas.openxmlformats.org/officeDocument/2006/relationships/hyperlink" Target="https://youtube.com/live/Dn0LW0bR0RU" TargetMode="External"/><Relationship Id="rId20" Type="http://schemas.openxmlformats.org/officeDocument/2006/relationships/hyperlink" Target="https://www.youtube.com/watch?v=cn-k-GOTqJQ" TargetMode="External"/><Relationship Id="rId41" Type="http://schemas.openxmlformats.org/officeDocument/2006/relationships/hyperlink" Target="https://www.youtube.com/live/pp5ki1CLvMo" TargetMode="External"/><Relationship Id="rId54" Type="http://schemas.openxmlformats.org/officeDocument/2006/relationships/hyperlink" Target="https://youtube.com/live/jdlsdPga2ZA" TargetMode="External"/><Relationship Id="rId62" Type="http://schemas.openxmlformats.org/officeDocument/2006/relationships/hyperlink" Target="https://www.youtube.com/live/GxD7nVn-drQ" TargetMode="External"/><Relationship Id="rId70" Type="http://schemas.openxmlformats.org/officeDocument/2006/relationships/hyperlink" Target="https://youtube.com/live/aEmW6NAB8rg" TargetMode="External"/><Relationship Id="rId75" Type="http://schemas.openxmlformats.org/officeDocument/2006/relationships/hyperlink" Target="https://youtube.com/live/5hKBpMhwLS0" TargetMode="External"/><Relationship Id="rId83" Type="http://schemas.openxmlformats.org/officeDocument/2006/relationships/hyperlink" Target="https://www.youtube.com/watch?v=GFInSu-wSUs" TargetMode="External"/><Relationship Id="rId1" Type="http://schemas.openxmlformats.org/officeDocument/2006/relationships/hyperlink" Target="https://www.youtube.com/watch?v=M6lJ_LsCLRc" TargetMode="External"/><Relationship Id="rId6" Type="http://schemas.openxmlformats.org/officeDocument/2006/relationships/hyperlink" Target="https://www.youtube.com/watch?v=SFX4LIiGgQA" TargetMode="External"/><Relationship Id="rId15" Type="http://schemas.openxmlformats.org/officeDocument/2006/relationships/hyperlink" Target="https://www.youtube.com/watch?v=QLUIyMvPYW8" TargetMode="External"/><Relationship Id="rId23" Type="http://schemas.openxmlformats.org/officeDocument/2006/relationships/hyperlink" Target="https://www.youtube.com/watch?v=6mIE0cBWYMM" TargetMode="External"/><Relationship Id="rId28" Type="http://schemas.openxmlformats.org/officeDocument/2006/relationships/hyperlink" Target="https://www.youtube.com/watch?v=xC3ucTSuAfw&amp;t" TargetMode="External"/><Relationship Id="rId36" Type="http://schemas.openxmlformats.org/officeDocument/2006/relationships/hyperlink" Target="https://www.youtube.com/watch?v=JiSWPrgLLNU" TargetMode="External"/><Relationship Id="rId49" Type="http://schemas.openxmlformats.org/officeDocument/2006/relationships/hyperlink" Target="https://youtube.com/live/GR47D8ptjWg" TargetMode="External"/><Relationship Id="rId57" Type="http://schemas.openxmlformats.org/officeDocument/2006/relationships/hyperlink" Target="https://www.youtube.com/live/a66OBdcWYRM" TargetMode="External"/><Relationship Id="rId10" Type="http://schemas.openxmlformats.org/officeDocument/2006/relationships/hyperlink" Target="https://www.youtube.com/watch?v=E8OcnbLDR3s" TargetMode="External"/><Relationship Id="rId31" Type="http://schemas.openxmlformats.org/officeDocument/2006/relationships/hyperlink" Target="https://www.youtube.com/watch?v=5ywWRBvWskM" TargetMode="External"/><Relationship Id="rId44" Type="http://schemas.openxmlformats.org/officeDocument/2006/relationships/hyperlink" Target="https://www.youtube.com/live/T4h9u3VO6_Q" TargetMode="External"/><Relationship Id="rId52" Type="http://schemas.openxmlformats.org/officeDocument/2006/relationships/hyperlink" Target="https://www.youtube.com/live/HRmrUOh7BXg" TargetMode="External"/><Relationship Id="rId60" Type="http://schemas.openxmlformats.org/officeDocument/2006/relationships/hyperlink" Target="https://www.youtube.com/live/oMZhPz5f6Us" TargetMode="External"/><Relationship Id="rId65" Type="http://schemas.openxmlformats.org/officeDocument/2006/relationships/hyperlink" Target="https://www.youtube.com/live/LE2FHDGw_ZY" TargetMode="External"/><Relationship Id="rId73" Type="http://schemas.openxmlformats.org/officeDocument/2006/relationships/hyperlink" Target="https://www.youtube.com/live/gXC7Rm__s6A" TargetMode="External"/><Relationship Id="rId78" Type="http://schemas.openxmlformats.org/officeDocument/2006/relationships/hyperlink" Target="https://www.youtube.com/live/jcMzd2SwirE" TargetMode="External"/><Relationship Id="rId81" Type="http://schemas.openxmlformats.org/officeDocument/2006/relationships/hyperlink" Target="https://www.youtube.com/watch?v=3v7FioL8DQQ" TargetMode="External"/><Relationship Id="rId86" Type="http://schemas.openxmlformats.org/officeDocument/2006/relationships/hyperlink" Target="https://youtube.com/live/lFyz3JEe96A" TargetMode="External"/><Relationship Id="rId4" Type="http://schemas.openxmlformats.org/officeDocument/2006/relationships/hyperlink" Target="https://www.youtube.com/watch?v=OKh4b3KYraA" TargetMode="External"/><Relationship Id="rId9" Type="http://schemas.openxmlformats.org/officeDocument/2006/relationships/hyperlink" Target="https://www.youtube.com/watch?v=lAA40p2T6cU" TargetMode="External"/><Relationship Id="rId13" Type="http://schemas.openxmlformats.org/officeDocument/2006/relationships/hyperlink" Target="https://www.youtube.com/watch?v=cq-AY8IxKd4" TargetMode="External"/><Relationship Id="rId18" Type="http://schemas.openxmlformats.org/officeDocument/2006/relationships/hyperlink" Target="https://www.youtube.com/watch?v=KdfkB1hzquM" TargetMode="External"/><Relationship Id="rId39" Type="http://schemas.openxmlformats.org/officeDocument/2006/relationships/hyperlink" Target="https://www.youtube.com/live/A_iGKADzlHo" TargetMode="External"/><Relationship Id="rId34" Type="http://schemas.openxmlformats.org/officeDocument/2006/relationships/hyperlink" Target="https://www.youtube.com/watch?v=jqpRwd3sdlU" TargetMode="External"/><Relationship Id="rId50" Type="http://schemas.openxmlformats.org/officeDocument/2006/relationships/hyperlink" Target="https://www.youtube.com/live/K22C4MPsVuA" TargetMode="External"/><Relationship Id="rId55" Type="http://schemas.openxmlformats.org/officeDocument/2006/relationships/hyperlink" Target="https://youtube.com/live/u_Xwz-SCJmg" TargetMode="External"/><Relationship Id="rId76" Type="http://schemas.openxmlformats.org/officeDocument/2006/relationships/hyperlink" Target="https://youtube.com/live/X-XizsYuOs4" TargetMode="External"/><Relationship Id="rId7" Type="http://schemas.openxmlformats.org/officeDocument/2006/relationships/hyperlink" Target="https://www.youtube.com/watch?v=b91lKBytRoY" TargetMode="External"/><Relationship Id="rId71" Type="http://schemas.openxmlformats.org/officeDocument/2006/relationships/hyperlink" Target="https://youtube.com/live/I6zwuL8wX-E" TargetMode="External"/><Relationship Id="rId2" Type="http://schemas.openxmlformats.org/officeDocument/2006/relationships/hyperlink" Target="https://www.youtube.com/watch?v=zjNx9hXFvAk" TargetMode="External"/><Relationship Id="rId29" Type="http://schemas.openxmlformats.org/officeDocument/2006/relationships/hyperlink" Target="https://www.youtube.com/watch?v=YXAWmgWZn3E&amp;t" TargetMode="External"/><Relationship Id="rId24" Type="http://schemas.openxmlformats.org/officeDocument/2006/relationships/hyperlink" Target="https://www.youtube.com/watch?v=Pd6CPK528kg" TargetMode="External"/><Relationship Id="rId40" Type="http://schemas.openxmlformats.org/officeDocument/2006/relationships/hyperlink" Target="https://www.youtube.com/live/AKCJnOyPGLk" TargetMode="External"/><Relationship Id="rId45" Type="http://schemas.openxmlformats.org/officeDocument/2006/relationships/hyperlink" Target="https://www.youtube.com/live/oN3E4deTPEg" TargetMode="External"/><Relationship Id="rId66" Type="http://schemas.openxmlformats.org/officeDocument/2006/relationships/hyperlink" Target="https://youtube.com/live/vWvlrIOXeRg" TargetMode="External"/><Relationship Id="rId61" Type="http://schemas.openxmlformats.org/officeDocument/2006/relationships/hyperlink" Target="https://www.youtube.com/live/746ztv3FKWQ" TargetMode="External"/><Relationship Id="rId82" Type="http://schemas.openxmlformats.org/officeDocument/2006/relationships/hyperlink" Target="https://www.youtube.com/live/nc_Pko99qj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957E-E569-4EC4-B048-4781DE644134}">
  <dimension ref="A1:S200"/>
  <sheetViews>
    <sheetView topLeftCell="A43" zoomScale="80" zoomScaleNormal="80" workbookViewId="0">
      <selection activeCell="A58" sqref="A58"/>
    </sheetView>
  </sheetViews>
  <sheetFormatPr defaultRowHeight="14.4" x14ac:dyDescent="0.3"/>
  <cols>
    <col min="1" max="1" width="8.109375" style="2" bestFit="1" customWidth="1"/>
    <col min="2" max="2" width="11.109375" style="3" bestFit="1" customWidth="1"/>
    <col min="3" max="3" width="49.88671875" customWidth="1"/>
    <col min="4" max="4" width="12.88671875" bestFit="1" customWidth="1"/>
    <col min="5" max="5" width="31.44140625" bestFit="1" customWidth="1"/>
    <col min="6" max="6" width="38.109375" bestFit="1" customWidth="1"/>
    <col min="7" max="7" width="11.88671875" bestFit="1" customWidth="1"/>
    <col min="19" max="19" width="4.33203125" bestFit="1" customWidth="1"/>
  </cols>
  <sheetData>
    <row r="1" spans="1:19" x14ac:dyDescent="0.3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6" t="s">
        <v>5</v>
      </c>
      <c r="G1" t="s">
        <v>6</v>
      </c>
      <c r="H1">
        <f>COUNTIF(A2:A100,"&gt;0")</f>
        <v>87</v>
      </c>
      <c r="S1" t="s">
        <v>7</v>
      </c>
    </row>
    <row r="2" spans="1:19" x14ac:dyDescent="0.3">
      <c r="A2" s="44">
        <v>1</v>
      </c>
      <c r="B2" s="45">
        <v>44967</v>
      </c>
      <c r="C2" s="46" t="s">
        <v>8</v>
      </c>
      <c r="D2" s="47" t="str" cm="1">
        <f t="array" ref="D2">INDEX(GameStats!C:C, MATCH(1, (GameStats!A:A=A2)*(GameStats!D:D=1), 0))</f>
        <v>SoXu</v>
      </c>
      <c r="E2" s="48" cm="1">
        <f t="array" ref="E2">INDEX(GameStats!E:E, MATCH(1, (GameStats!A:A=A2)*(GameStats!D:D=1), 0))</f>
        <v>111</v>
      </c>
      <c r="F2" s="48">
        <f>COUNTIF(GameStats!A:A,GameTracker!A2)</f>
        <v>22</v>
      </c>
      <c r="G2" t="s">
        <v>9</v>
      </c>
      <c r="H2">
        <f>COUNTIF(F2:F100,"&gt;0")</f>
        <v>41</v>
      </c>
    </row>
    <row r="3" spans="1:19" x14ac:dyDescent="0.3">
      <c r="A3" s="44">
        <v>2</v>
      </c>
      <c r="B3" s="45">
        <v>44974</v>
      </c>
      <c r="C3" s="46" t="s">
        <v>10</v>
      </c>
      <c r="D3" s="47" t="str" cm="1">
        <f t="array" ref="D3">INDEX(GameStats!C:C, MATCH(1, (GameStats!A:A=A3)*(GameStats!D:D=1), 0))</f>
        <v>SoXu</v>
      </c>
      <c r="E3" s="48" cm="1">
        <f t="array" ref="E3">INDEX(GameStats!E:E, MATCH(1, (GameStats!A:A=A3)*(GameStats!D:D=1), 0))</f>
        <v>111</v>
      </c>
      <c r="F3" s="48">
        <f>COUNTIF(GameStats!A:A,GameTracker!A3)</f>
        <v>22</v>
      </c>
      <c r="H3" s="43">
        <f>H2/H1</f>
        <v>0.47126436781609193</v>
      </c>
    </row>
    <row r="4" spans="1:19" x14ac:dyDescent="0.3">
      <c r="A4" s="44">
        <v>3</v>
      </c>
      <c r="B4" s="45">
        <v>44981</v>
      </c>
      <c r="C4" s="50" t="s">
        <v>11</v>
      </c>
      <c r="D4" s="47" t="str" cm="1">
        <f t="array" ref="D4">INDEX(GameStats!C:C, MATCH(1, (GameStats!A:A=A4)*(GameStats!D:D=1), 0))</f>
        <v>Dauda</v>
      </c>
      <c r="E4" s="48" cm="1">
        <f t="array" ref="E4">INDEX(GameStats!E:E, MATCH(1, (GameStats!A:A=A4)*(GameStats!D:D=1), 0))</f>
        <v>100</v>
      </c>
      <c r="F4" s="48">
        <f>COUNTIF(GameStats!A:A,GameTracker!A4)</f>
        <v>1</v>
      </c>
      <c r="H4" s="43"/>
    </row>
    <row r="5" spans="1:19" x14ac:dyDescent="0.3">
      <c r="A5" s="44">
        <v>4</v>
      </c>
      <c r="B5" s="45">
        <v>44988</v>
      </c>
      <c r="C5" s="49" t="s">
        <v>12</v>
      </c>
      <c r="D5" s="47" t="str" cm="1">
        <f t="array" ref="D5">INDEX(GameStats!C:C, MATCH(1, (GameStats!A:A=A5)*(GameStats!D:D=1), 0))</f>
        <v>SoXu</v>
      </c>
      <c r="E5" s="48" cm="1">
        <f t="array" ref="E5">INDEX(GameStats!E:E, MATCH(1, (GameStats!A:A=A5)*(GameStats!D:D=1), 0))</f>
        <v>80</v>
      </c>
      <c r="F5" s="48">
        <f>COUNTIF(GameStats!A:A,GameTracker!A5)</f>
        <v>23</v>
      </c>
    </row>
    <row r="6" spans="1:19" x14ac:dyDescent="0.3">
      <c r="A6" s="44">
        <v>5</v>
      </c>
      <c r="B6" s="45">
        <v>44995</v>
      </c>
      <c r="C6" s="49" t="s">
        <v>13</v>
      </c>
      <c r="D6" s="47" t="str" cm="1">
        <f t="array" ref="D6">INDEX(GameStats!C:C, MATCH(1, (GameStats!A:A=A6)*(GameStats!D:D=1), 0))</f>
        <v>Easterbunny</v>
      </c>
      <c r="E6" s="48" cm="1">
        <f t="array" ref="E6">INDEX(GameStats!E:E, MATCH(1, (GameStats!A:A=A6)*(GameStats!D:D=1), 0))</f>
        <v>85</v>
      </c>
      <c r="F6" s="48">
        <f>COUNTIF(GameStats!A:A,GameTracker!A6)</f>
        <v>21</v>
      </c>
    </row>
    <row r="7" spans="1:19" x14ac:dyDescent="0.3">
      <c r="A7" s="44">
        <v>6</v>
      </c>
      <c r="B7" s="45">
        <v>45002</v>
      </c>
      <c r="C7" s="49" t="s">
        <v>14</v>
      </c>
      <c r="D7" s="47" t="str" cm="1">
        <f t="array" ref="D7">INDEX(GameStats!C:C, MATCH(1, (GameStats!A:A=A7)*(GameStats!D:D=1), 0))</f>
        <v>cadiz32</v>
      </c>
      <c r="E7" s="48" cm="1">
        <f t="array" ref="E7">INDEX(GameStats!E:E, MATCH(1, (GameStats!A:A=A7)*(GameStats!D:D=1), 0))</f>
        <v>125</v>
      </c>
      <c r="F7" s="48">
        <f>COUNTIF(GameStats!A:A,GameTracker!A7)</f>
        <v>23</v>
      </c>
    </row>
    <row r="8" spans="1:19" x14ac:dyDescent="0.3">
      <c r="A8" s="44">
        <v>7</v>
      </c>
      <c r="B8" s="45">
        <v>45009</v>
      </c>
      <c r="C8" s="46" t="s">
        <v>15</v>
      </c>
      <c r="D8" s="47" t="str" cm="1">
        <f t="array" ref="D8">INDEX(GameStats!C:C, MATCH(1, (GameStats!A:A=A8)*(GameStats!D:D=1), 0))</f>
        <v>SoXu</v>
      </c>
      <c r="E8" s="48" cm="1">
        <f t="array" ref="E8">INDEX(GameStats!E:E, MATCH(1, (GameStats!A:A=A8)*(GameStats!D:D=1), 0))</f>
        <v>87</v>
      </c>
      <c r="F8" s="48">
        <f>COUNTIF(GameStats!A:A,GameTracker!A8)</f>
        <v>22</v>
      </c>
    </row>
    <row r="9" spans="1:19" x14ac:dyDescent="0.3">
      <c r="A9" s="44">
        <v>8</v>
      </c>
      <c r="B9" s="45">
        <v>45016</v>
      </c>
      <c r="C9" s="46" t="s">
        <v>16</v>
      </c>
      <c r="D9" s="47" t="str" cm="1">
        <f t="array" ref="D9">INDEX(GameStats!C:C, MATCH(1, (GameStats!A:A=A9)*(GameStats!D:D=1), 0))</f>
        <v>Jirenuber</v>
      </c>
      <c r="E9" s="48" cm="1">
        <f t="array" ref="E9">INDEX(GameStats!E:E, MATCH(1, (GameStats!A:A=A9)*(GameStats!D:D=1), 0))</f>
        <v>105</v>
      </c>
      <c r="F9" s="48">
        <f>COUNTIF(GameStats!A:A,GameTracker!A9)</f>
        <v>22</v>
      </c>
    </row>
    <row r="10" spans="1:19" x14ac:dyDescent="0.3">
      <c r="A10" s="44">
        <v>9</v>
      </c>
      <c r="B10" s="45">
        <v>45023</v>
      </c>
      <c r="C10" s="46" t="s">
        <v>17</v>
      </c>
      <c r="D10" s="47" t="str" cm="1">
        <f t="array" ref="D10">INDEX(GameStats!C:C, MATCH(1, (GameStats!A:A=A10)*(GameStats!D:D=1), 0))</f>
        <v>Dauda</v>
      </c>
      <c r="E10" s="48" cm="1">
        <f t="array" ref="E10">INDEX(GameStats!E:E, MATCH(1, (GameStats!A:A=A10)*(GameStats!D:D=1), 0))</f>
        <v>79</v>
      </c>
      <c r="F10" s="48">
        <f>COUNTIF(GameStats!A:A,GameTracker!A10)</f>
        <v>23</v>
      </c>
    </row>
    <row r="11" spans="1:19" x14ac:dyDescent="0.3">
      <c r="A11" s="44">
        <v>10</v>
      </c>
      <c r="B11" s="45">
        <v>45030</v>
      </c>
      <c r="C11" s="46" t="s">
        <v>18</v>
      </c>
      <c r="D11" s="47" t="str" cm="1">
        <f t="array" ref="D11">INDEX(GameStats!C:C, MATCH(1, (GameStats!A:A=A11)*(GameStats!D:D=1), 0))</f>
        <v>xFreshNeZz</v>
      </c>
      <c r="E11" s="48" cm="1">
        <f t="array" ref="E11">INDEX(GameStats!E:E, MATCH(1, (GameStats!A:A=A11)*(GameStats!D:D=1), 0))</f>
        <v>72</v>
      </c>
      <c r="F11" s="48">
        <f>COUNTIF(GameStats!A:A,GameTracker!A11)</f>
        <v>22</v>
      </c>
    </row>
    <row r="12" spans="1:19" x14ac:dyDescent="0.3">
      <c r="A12" s="44">
        <v>11</v>
      </c>
      <c r="B12" s="45">
        <v>45037</v>
      </c>
      <c r="C12" s="49" t="s">
        <v>19</v>
      </c>
      <c r="D12" s="47" t="str" cm="1">
        <f t="array" ref="D12">INDEX(GameStats!C:C, MATCH(1, (GameStats!A:A=A12)*(GameStats!D:D=1), 0))</f>
        <v>Dauda</v>
      </c>
      <c r="E12" s="48" cm="1">
        <f t="array" ref="E12">INDEX(GameStats!E:E, MATCH(1, (GameStats!A:A=A12)*(GameStats!D:D=1), 0))</f>
        <v>35</v>
      </c>
      <c r="F12" s="48">
        <f>COUNTIF(GameStats!A:A,GameTracker!A12)</f>
        <v>23</v>
      </c>
    </row>
    <row r="13" spans="1:19" x14ac:dyDescent="0.3">
      <c r="A13" s="44">
        <v>12</v>
      </c>
      <c r="B13" s="45">
        <v>45044</v>
      </c>
      <c r="C13" s="46" t="s">
        <v>20</v>
      </c>
      <c r="D13" s="47" t="str" cm="1">
        <f t="array" ref="D13">INDEX(GameStats!C:C, MATCH(1, (GameStats!A:A=A13)*(GameStats!D:D=1), 0))</f>
        <v>StarDrifter</v>
      </c>
      <c r="E13" s="48" cm="1">
        <f t="array" ref="E13">INDEX(GameStats!E:E, MATCH(1, (GameStats!A:A=A13)*(GameStats!D:D=1), 0))</f>
        <v>80</v>
      </c>
      <c r="F13" s="48">
        <f>COUNTIF(GameStats!A:A,GameTracker!A13)</f>
        <v>23</v>
      </c>
    </row>
    <row r="14" spans="1:19" x14ac:dyDescent="0.3">
      <c r="A14" s="12">
        <v>13</v>
      </c>
      <c r="B14" s="13">
        <v>45051</v>
      </c>
      <c r="C14" s="14" t="s">
        <v>21</v>
      </c>
      <c r="D14" s="35" t="e" cm="1">
        <f t="array" ref="D14">INDEX(GameStats!C:C, MATCH(1, (GameStats!A:A=A14)*(GameStats!D:D=1), 0))</f>
        <v>#N/A</v>
      </c>
      <c r="E14" s="16" t="e" cm="1">
        <f t="array" ref="E14">INDEX(GameStats!E:E, MATCH(1, (GameStats!A:A=A14)*(GameStats!D:D=1), 0))</f>
        <v>#N/A</v>
      </c>
      <c r="F14" s="16">
        <f>COUNTIF(GameStats!A:A,GameTracker!A14)</f>
        <v>0</v>
      </c>
    </row>
    <row r="15" spans="1:19" x14ac:dyDescent="0.3">
      <c r="A15" s="12">
        <v>14</v>
      </c>
      <c r="B15" s="13">
        <v>45058</v>
      </c>
      <c r="C15" s="14" t="s">
        <v>22</v>
      </c>
      <c r="D15" s="35" t="e" cm="1">
        <f t="array" ref="D15">INDEX(GameStats!C:C, MATCH(1, (GameStats!A:A=A15)*(GameStats!D:D=1), 0))</f>
        <v>#N/A</v>
      </c>
      <c r="E15" s="16" t="e" cm="1">
        <f t="array" ref="E15">INDEX(GameStats!E:E, MATCH(1, (GameStats!A:A=A15)*(GameStats!D:D=1), 0))</f>
        <v>#N/A</v>
      </c>
      <c r="F15" s="16">
        <f>COUNTIF(GameStats!A:A,GameTracker!A15)</f>
        <v>0</v>
      </c>
    </row>
    <row r="16" spans="1:19" x14ac:dyDescent="0.3">
      <c r="A16" s="12">
        <v>15</v>
      </c>
      <c r="B16" s="13">
        <v>45065</v>
      </c>
      <c r="C16" s="14" t="s">
        <v>23</v>
      </c>
      <c r="D16" s="35" t="e" cm="1">
        <f t="array" ref="D16">INDEX(GameStats!C:C, MATCH(1, (GameStats!A:A=A16)*(GameStats!D:D=1), 0))</f>
        <v>#N/A</v>
      </c>
      <c r="E16" s="16" t="e" cm="1">
        <f t="array" ref="E16">INDEX(GameStats!E:E, MATCH(1, (GameStats!A:A=A16)*(GameStats!D:D=1), 0))</f>
        <v>#N/A</v>
      </c>
      <c r="F16" s="16">
        <f>COUNTIF(GameStats!A:A,GameTracker!A16)</f>
        <v>0</v>
      </c>
    </row>
    <row r="17" spans="1:6" x14ac:dyDescent="0.3">
      <c r="A17" s="12">
        <v>16</v>
      </c>
      <c r="B17" s="13">
        <v>45072</v>
      </c>
      <c r="C17" s="14" t="s">
        <v>24</v>
      </c>
      <c r="D17" s="35" t="e" cm="1">
        <f t="array" ref="D17">INDEX(GameStats!C:C, MATCH(1, (GameStats!A:A=A17)*(GameStats!D:D=1), 0))</f>
        <v>#N/A</v>
      </c>
      <c r="E17" s="16" t="e" cm="1">
        <f t="array" ref="E17">INDEX(GameStats!E:E, MATCH(1, (GameStats!A:A=A17)*(GameStats!D:D=1), 0))</f>
        <v>#N/A</v>
      </c>
      <c r="F17" s="16">
        <f>COUNTIF(GameStats!A:A,GameTracker!A17)</f>
        <v>0</v>
      </c>
    </row>
    <row r="18" spans="1:6" x14ac:dyDescent="0.3">
      <c r="A18" s="12">
        <v>17</v>
      </c>
      <c r="B18" s="13">
        <v>45079</v>
      </c>
      <c r="C18" s="14" t="s">
        <v>25</v>
      </c>
      <c r="D18" s="35" t="e" cm="1">
        <f t="array" ref="D18">INDEX(GameStats!C:C, MATCH(1, (GameStats!A:A=A18)*(GameStats!D:D=1), 0))</f>
        <v>#N/A</v>
      </c>
      <c r="E18" s="16" t="e" cm="1">
        <f t="array" ref="E18">INDEX(GameStats!E:E, MATCH(1, (GameStats!A:A=A18)*(GameStats!D:D=1), 0))</f>
        <v>#N/A</v>
      </c>
      <c r="F18" s="16">
        <f>COUNTIF(GameStats!A:A,GameTracker!A18)</f>
        <v>0</v>
      </c>
    </row>
    <row r="19" spans="1:6" x14ac:dyDescent="0.3">
      <c r="A19" s="12">
        <v>18</v>
      </c>
      <c r="B19" s="13">
        <v>45086</v>
      </c>
      <c r="C19" s="14" t="s">
        <v>26</v>
      </c>
      <c r="D19" s="35" t="e" cm="1">
        <f t="array" ref="D19">INDEX(GameStats!C:C, MATCH(1, (GameStats!A:A=A19)*(GameStats!D:D=1), 0))</f>
        <v>#N/A</v>
      </c>
      <c r="E19" s="16" t="e" cm="1">
        <f t="array" ref="E19">INDEX(GameStats!E:E, MATCH(1, (GameStats!A:A=A19)*(GameStats!D:D=1), 0))</f>
        <v>#N/A</v>
      </c>
      <c r="F19" s="16">
        <f>COUNTIF(GameStats!A:A,GameTracker!A19)</f>
        <v>0</v>
      </c>
    </row>
    <row r="20" spans="1:6" x14ac:dyDescent="0.3">
      <c r="A20" s="12">
        <v>19</v>
      </c>
      <c r="B20" s="13">
        <v>45093</v>
      </c>
      <c r="C20" s="14" t="s">
        <v>27</v>
      </c>
      <c r="D20" s="35" t="e" cm="1">
        <f t="array" ref="D20">INDEX(GameStats!C:C, MATCH(1, (GameStats!A:A=A20)*(GameStats!D:D=1), 0))</f>
        <v>#N/A</v>
      </c>
      <c r="E20" s="16" t="e" cm="1">
        <f t="array" ref="E20">INDEX(GameStats!E:E, MATCH(1, (GameStats!A:A=A20)*(GameStats!D:D=1), 0))</f>
        <v>#N/A</v>
      </c>
      <c r="F20" s="16">
        <f>COUNTIF(GameStats!A:A,GameTracker!A20)</f>
        <v>0</v>
      </c>
    </row>
    <row r="21" spans="1:6" x14ac:dyDescent="0.3">
      <c r="A21" s="12">
        <v>20</v>
      </c>
      <c r="B21" s="13">
        <v>45100</v>
      </c>
      <c r="C21" s="14" t="s">
        <v>28</v>
      </c>
      <c r="D21" s="35" t="e" cm="1">
        <f t="array" ref="D21">INDEX(GameStats!C:C, MATCH(1, (GameStats!A:A=A21)*(GameStats!D:D=1), 0))</f>
        <v>#N/A</v>
      </c>
      <c r="E21" s="16" t="e" cm="1">
        <f t="array" ref="E21">INDEX(GameStats!E:E, MATCH(1, (GameStats!A:A=A21)*(GameStats!D:D=1), 0))</f>
        <v>#N/A</v>
      </c>
      <c r="F21" s="16">
        <f>COUNTIF(GameStats!A:A,GameTracker!A21)</f>
        <v>0</v>
      </c>
    </row>
    <row r="22" spans="1:6" x14ac:dyDescent="0.3">
      <c r="A22" s="12">
        <v>21</v>
      </c>
      <c r="B22" s="13">
        <v>45107</v>
      </c>
      <c r="C22" s="14" t="s">
        <v>29</v>
      </c>
      <c r="D22" s="35" t="e" cm="1">
        <f t="array" ref="D22">INDEX(GameStats!C:C, MATCH(1, (GameStats!A:A=A22)*(GameStats!D:D=1), 0))</f>
        <v>#N/A</v>
      </c>
      <c r="E22" s="16" t="e" cm="1">
        <f t="array" ref="E22">INDEX(GameStats!E:E, MATCH(1, (GameStats!A:A=A22)*(GameStats!D:D=1), 0))</f>
        <v>#N/A</v>
      </c>
      <c r="F22" s="16">
        <f>COUNTIF(GameStats!A:A,GameTracker!A22)</f>
        <v>0</v>
      </c>
    </row>
    <row r="23" spans="1:6" x14ac:dyDescent="0.3">
      <c r="A23" s="12">
        <v>22</v>
      </c>
      <c r="B23" s="13">
        <v>45114</v>
      </c>
      <c r="C23" s="14" t="s">
        <v>30</v>
      </c>
      <c r="D23" s="35" t="e" cm="1">
        <f t="array" ref="D23">INDEX(GameStats!C:C, MATCH(1, (GameStats!A:A=A23)*(GameStats!D:D=1), 0))</f>
        <v>#N/A</v>
      </c>
      <c r="E23" s="16" t="e" cm="1">
        <f t="array" ref="E23">INDEX(GameStats!E:E, MATCH(1, (GameStats!A:A=A23)*(GameStats!D:D=1), 0))</f>
        <v>#N/A</v>
      </c>
      <c r="F23" s="16">
        <f>COUNTIF(GameStats!A:A,GameTracker!A23)</f>
        <v>0</v>
      </c>
    </row>
    <row r="24" spans="1:6" x14ac:dyDescent="0.3">
      <c r="A24" s="12">
        <v>23</v>
      </c>
      <c r="B24" s="13">
        <v>45121</v>
      </c>
      <c r="C24" s="14" t="s">
        <v>31</v>
      </c>
      <c r="D24" s="35" t="e" cm="1">
        <f t="array" ref="D24">INDEX(GameStats!C:C, MATCH(1, (GameStats!A:A=A24)*(GameStats!D:D=1), 0))</f>
        <v>#N/A</v>
      </c>
      <c r="E24" s="16" t="e" cm="1">
        <f t="array" ref="E24">INDEX(GameStats!E:E, MATCH(1, (GameStats!A:A=A24)*(GameStats!D:D=1), 0))</f>
        <v>#N/A</v>
      </c>
      <c r="F24" s="16">
        <f>COUNTIF(GameStats!A:A,GameTracker!A24)</f>
        <v>0</v>
      </c>
    </row>
    <row r="25" spans="1:6" x14ac:dyDescent="0.3">
      <c r="A25" s="12">
        <v>24</v>
      </c>
      <c r="B25" s="13">
        <v>45128</v>
      </c>
      <c r="C25" s="14" t="s">
        <v>32</v>
      </c>
      <c r="D25" s="35" t="e" cm="1">
        <f t="array" ref="D25">INDEX(GameStats!C:C, MATCH(1, (GameStats!A:A=A25)*(GameStats!D:D=1), 0))</f>
        <v>#N/A</v>
      </c>
      <c r="E25" s="16" t="e" cm="1">
        <f t="array" ref="E25">INDEX(GameStats!E:E, MATCH(1, (GameStats!A:A=A25)*(GameStats!D:D=1), 0))</f>
        <v>#N/A</v>
      </c>
      <c r="F25" s="16">
        <f>COUNTIF(GameStats!A:A,GameTracker!A25)</f>
        <v>0</v>
      </c>
    </row>
    <row r="26" spans="1:6" x14ac:dyDescent="0.3">
      <c r="A26" s="12">
        <v>25</v>
      </c>
      <c r="B26" s="13">
        <v>45135</v>
      </c>
      <c r="C26" s="14" t="s">
        <v>33</v>
      </c>
      <c r="D26" s="35" t="e" cm="1">
        <f t="array" ref="D26">INDEX(GameStats!C:C, MATCH(1, (GameStats!A:A=A26)*(GameStats!D:D=1), 0))</f>
        <v>#N/A</v>
      </c>
      <c r="E26" s="16" t="e" cm="1">
        <f t="array" ref="E26">INDEX(GameStats!E:E, MATCH(1, (GameStats!A:A=A26)*(GameStats!D:D=1), 0))</f>
        <v>#N/A</v>
      </c>
      <c r="F26" s="16">
        <f>COUNTIF(GameStats!A:A,GameTracker!A26)</f>
        <v>0</v>
      </c>
    </row>
    <row r="27" spans="1:6" x14ac:dyDescent="0.3">
      <c r="A27" s="12">
        <v>26</v>
      </c>
      <c r="B27" s="13">
        <v>45142</v>
      </c>
      <c r="C27" s="14" t="s">
        <v>34</v>
      </c>
      <c r="D27" s="35" t="e" cm="1">
        <f t="array" ref="D27">INDEX(GameStats!C:C, MATCH(1, (GameStats!A:A=A27)*(GameStats!D:D=1), 0))</f>
        <v>#N/A</v>
      </c>
      <c r="E27" s="16" t="e" cm="1">
        <f t="array" ref="E27">INDEX(GameStats!E:E, MATCH(1, (GameStats!A:A=A27)*(GameStats!D:D=1), 0))</f>
        <v>#N/A</v>
      </c>
      <c r="F27" s="16">
        <f>COUNTIF(GameStats!A:A,GameTracker!A27)</f>
        <v>0</v>
      </c>
    </row>
    <row r="28" spans="1:6" x14ac:dyDescent="0.3">
      <c r="A28" s="12">
        <v>27</v>
      </c>
      <c r="B28" s="13">
        <v>45149</v>
      </c>
      <c r="C28" s="14" t="s">
        <v>35</v>
      </c>
      <c r="D28" s="35" t="e" cm="1">
        <f t="array" ref="D28">INDEX(GameStats!C:C, MATCH(1, (GameStats!A:A=A28)*(GameStats!D:D=1), 0))</f>
        <v>#N/A</v>
      </c>
      <c r="E28" s="16" t="e" cm="1">
        <f t="array" ref="E28">INDEX(GameStats!E:E, MATCH(1, (GameStats!A:A=A28)*(GameStats!D:D=1), 0))</f>
        <v>#N/A</v>
      </c>
      <c r="F28" s="16">
        <f>COUNTIF(GameStats!A:A,GameTracker!A28)</f>
        <v>0</v>
      </c>
    </row>
    <row r="29" spans="1:6" x14ac:dyDescent="0.3">
      <c r="A29" s="12">
        <v>28</v>
      </c>
      <c r="B29" s="13">
        <v>45156</v>
      </c>
      <c r="C29" s="14" t="s">
        <v>36</v>
      </c>
      <c r="D29" s="35" t="e" cm="1">
        <f t="array" ref="D29">INDEX(GameStats!C:C, MATCH(1, (GameStats!A:A=A29)*(GameStats!D:D=1), 0))</f>
        <v>#N/A</v>
      </c>
      <c r="E29" s="16" t="e" cm="1">
        <f t="array" ref="E29">INDEX(GameStats!E:E, MATCH(1, (GameStats!A:A=A29)*(GameStats!D:D=1), 0))</f>
        <v>#N/A</v>
      </c>
      <c r="F29" s="16">
        <f>COUNTIF(GameStats!A:A,GameTracker!A29)</f>
        <v>0</v>
      </c>
    </row>
    <row r="30" spans="1:6" x14ac:dyDescent="0.3">
      <c r="A30" s="12">
        <v>29</v>
      </c>
      <c r="B30" s="13">
        <v>45163</v>
      </c>
      <c r="C30" s="14" t="s">
        <v>37</v>
      </c>
      <c r="D30" s="35" t="e" cm="1">
        <f t="array" ref="D30">INDEX(GameStats!C:C, MATCH(1, (GameStats!A:A=A30)*(GameStats!D:D=1), 0))</f>
        <v>#N/A</v>
      </c>
      <c r="E30" s="16" t="e" cm="1">
        <f t="array" ref="E30">INDEX(GameStats!E:E, MATCH(1, (GameStats!A:A=A30)*(GameStats!D:D=1), 0))</f>
        <v>#N/A</v>
      </c>
      <c r="F30" s="16">
        <f>COUNTIF(GameStats!A:A,GameTracker!A30)</f>
        <v>0</v>
      </c>
    </row>
    <row r="31" spans="1:6" x14ac:dyDescent="0.3">
      <c r="A31" s="12">
        <v>30</v>
      </c>
      <c r="B31" s="13">
        <v>45170</v>
      </c>
      <c r="C31" s="15" t="s">
        <v>38</v>
      </c>
      <c r="D31" s="35" t="e" cm="1">
        <f t="array" ref="D31">INDEX(GameStats!C:C, MATCH(1, (GameStats!A:A=A31)*(GameStats!D:D=1), 0))</f>
        <v>#N/A</v>
      </c>
      <c r="E31" s="16" t="e" cm="1">
        <f t="array" ref="E31">INDEX(GameStats!E:E, MATCH(1, (GameStats!A:A=A31)*(GameStats!D:D=1), 0))</f>
        <v>#N/A</v>
      </c>
      <c r="F31" s="16">
        <f>COUNTIF(GameStats!A:A,GameTracker!A31)</f>
        <v>0</v>
      </c>
    </row>
    <row r="32" spans="1:6" x14ac:dyDescent="0.3">
      <c r="A32" s="12">
        <v>31</v>
      </c>
      <c r="B32" s="13">
        <v>45177</v>
      </c>
      <c r="C32" s="14" t="s">
        <v>39</v>
      </c>
      <c r="D32" s="35" t="e" cm="1">
        <f t="array" ref="D32">INDEX(GameStats!C:C, MATCH(1, (GameStats!A:A=A32)*(GameStats!D:D=1), 0))</f>
        <v>#N/A</v>
      </c>
      <c r="E32" s="16" t="e" cm="1">
        <f t="array" ref="E32">INDEX(GameStats!E:E, MATCH(1, (GameStats!A:A=A32)*(GameStats!D:D=1), 0))</f>
        <v>#N/A</v>
      </c>
      <c r="F32" s="16">
        <f>COUNTIF(GameStats!A:A,GameTracker!A32)</f>
        <v>0</v>
      </c>
    </row>
    <row r="33" spans="1:6" x14ac:dyDescent="0.3">
      <c r="A33" s="12">
        <v>32</v>
      </c>
      <c r="B33" s="13">
        <v>45184</v>
      </c>
      <c r="C33" s="14" t="s">
        <v>40</v>
      </c>
      <c r="D33" s="35" t="e" cm="1">
        <f t="array" ref="D33">INDEX(GameStats!C:C, MATCH(1, (GameStats!A:A=A33)*(GameStats!D:D=1), 0))</f>
        <v>#N/A</v>
      </c>
      <c r="E33" s="16" t="e" cm="1">
        <f t="array" ref="E33">INDEX(GameStats!E:E, MATCH(1, (GameStats!A:A=A33)*(GameStats!D:D=1), 0))</f>
        <v>#N/A</v>
      </c>
      <c r="F33" s="16">
        <f>COUNTIF(GameStats!A:A,GameTracker!A33)</f>
        <v>0</v>
      </c>
    </row>
    <row r="34" spans="1:6" x14ac:dyDescent="0.3">
      <c r="A34" s="12">
        <v>33</v>
      </c>
      <c r="B34" s="13">
        <v>45191</v>
      </c>
      <c r="C34" s="14" t="s">
        <v>41</v>
      </c>
      <c r="D34" s="35" t="e" cm="1">
        <f t="array" ref="D34">INDEX(GameStats!C:C, MATCH(1, (GameStats!A:A=A34)*(GameStats!D:D=1), 0))</f>
        <v>#N/A</v>
      </c>
      <c r="E34" s="16" t="e" cm="1">
        <f t="array" ref="E34">INDEX(GameStats!E:E, MATCH(1, (GameStats!A:A=A34)*(GameStats!D:D=1), 0))</f>
        <v>#N/A</v>
      </c>
      <c r="F34" s="16">
        <f>COUNTIF(GameStats!A:A,GameTracker!A34)</f>
        <v>0</v>
      </c>
    </row>
    <row r="35" spans="1:6" x14ac:dyDescent="0.3">
      <c r="A35" s="12">
        <v>34</v>
      </c>
      <c r="B35" s="13">
        <v>45198</v>
      </c>
      <c r="C35" s="14" t="s">
        <v>42</v>
      </c>
      <c r="D35" s="35" t="e" cm="1">
        <f t="array" ref="D35">INDEX(GameStats!C:C, MATCH(1, (GameStats!A:A=A35)*(GameStats!D:D=1), 0))</f>
        <v>#N/A</v>
      </c>
      <c r="E35" s="16" t="e" cm="1">
        <f t="array" ref="E35">INDEX(GameStats!E:E, MATCH(1, (GameStats!A:A=A35)*(GameStats!D:D=1), 0))</f>
        <v>#N/A</v>
      </c>
      <c r="F35" s="16">
        <f>COUNTIF(GameStats!A:A,GameTracker!A35)</f>
        <v>0</v>
      </c>
    </row>
    <row r="36" spans="1:6" x14ac:dyDescent="0.3">
      <c r="A36" s="12">
        <v>35</v>
      </c>
      <c r="B36" s="13">
        <v>45205</v>
      </c>
      <c r="C36" s="14" t="s">
        <v>43</v>
      </c>
      <c r="D36" s="35" t="e" cm="1">
        <f t="array" ref="D36">INDEX(GameStats!C:C, MATCH(1, (GameStats!A:A=A36)*(GameStats!D:D=1), 0))</f>
        <v>#N/A</v>
      </c>
      <c r="E36" s="16" t="e" cm="1">
        <f t="array" ref="E36">INDEX(GameStats!E:E, MATCH(1, (GameStats!A:A=A36)*(GameStats!D:D=1), 0))</f>
        <v>#N/A</v>
      </c>
      <c r="F36" s="16">
        <f>COUNTIF(GameStats!A:A,GameTracker!A36)</f>
        <v>0</v>
      </c>
    </row>
    <row r="37" spans="1:6" x14ac:dyDescent="0.3">
      <c r="A37" s="12">
        <v>36</v>
      </c>
      <c r="B37" s="13">
        <v>45212</v>
      </c>
      <c r="C37" s="14" t="s">
        <v>44</v>
      </c>
      <c r="D37" s="35" t="e" cm="1">
        <f t="array" ref="D37">INDEX(GameStats!C:C, MATCH(1, (GameStats!A:A=A37)*(GameStats!D:D=1), 0))</f>
        <v>#N/A</v>
      </c>
      <c r="E37" s="16" t="e" cm="1">
        <f t="array" ref="E37">INDEX(GameStats!E:E, MATCH(1, (GameStats!A:A=A37)*(GameStats!D:D=1), 0))</f>
        <v>#N/A</v>
      </c>
      <c r="F37" s="16">
        <f>COUNTIF(GameStats!A:A,GameTracker!A37)</f>
        <v>0</v>
      </c>
    </row>
    <row r="38" spans="1:6" x14ac:dyDescent="0.3">
      <c r="A38" s="12">
        <v>37</v>
      </c>
      <c r="B38" s="13">
        <v>45219</v>
      </c>
      <c r="C38" s="14" t="s">
        <v>45</v>
      </c>
      <c r="D38" s="35" t="e" cm="1">
        <f t="array" ref="D38">INDEX(GameStats!C:C, MATCH(1, (GameStats!A:A=A38)*(GameStats!D:D=1), 0))</f>
        <v>#N/A</v>
      </c>
      <c r="E38" s="16" t="e" cm="1">
        <f t="array" ref="E38">INDEX(GameStats!E:E, MATCH(1, (GameStats!A:A=A38)*(GameStats!D:D=1), 0))</f>
        <v>#N/A</v>
      </c>
      <c r="F38" s="16">
        <f>COUNTIF(GameStats!A:A,GameTracker!A38)</f>
        <v>0</v>
      </c>
    </row>
    <row r="39" spans="1:6" x14ac:dyDescent="0.3">
      <c r="A39" s="12">
        <v>38</v>
      </c>
      <c r="B39" s="13">
        <v>45226</v>
      </c>
      <c r="C39" s="14" t="s">
        <v>46</v>
      </c>
      <c r="D39" s="35" t="e" cm="1">
        <f t="array" ref="D39">INDEX(GameStats!C:C, MATCH(1, (GameStats!A:A=A39)*(GameStats!D:D=1), 0))</f>
        <v>#N/A</v>
      </c>
      <c r="E39" s="16" t="e" cm="1">
        <f t="array" ref="E39">INDEX(GameStats!E:E, MATCH(1, (GameStats!A:A=A39)*(GameStats!D:D=1), 0))</f>
        <v>#N/A</v>
      </c>
      <c r="F39" s="16">
        <f>COUNTIF(GameStats!A:A,GameTracker!A39)</f>
        <v>0</v>
      </c>
    </row>
    <row r="40" spans="1:6" x14ac:dyDescent="0.3">
      <c r="A40" s="12">
        <v>39</v>
      </c>
      <c r="B40" s="13">
        <v>45233</v>
      </c>
      <c r="C40" s="14" t="s">
        <v>47</v>
      </c>
      <c r="D40" s="35" t="e" cm="1">
        <f t="array" ref="D40">INDEX(GameStats!C:C, MATCH(1, (GameStats!A:A=A40)*(GameStats!D:D=1), 0))</f>
        <v>#N/A</v>
      </c>
      <c r="E40" s="16" t="e" cm="1">
        <f t="array" ref="E40">INDEX(GameStats!E:E, MATCH(1, (GameStats!A:A=A40)*(GameStats!D:D=1), 0))</f>
        <v>#N/A</v>
      </c>
      <c r="F40" s="16">
        <f>COUNTIF(GameStats!A:A,GameTracker!A40)</f>
        <v>0</v>
      </c>
    </row>
    <row r="41" spans="1:6" x14ac:dyDescent="0.3">
      <c r="A41" s="12">
        <v>40</v>
      </c>
      <c r="B41" s="13">
        <v>45240</v>
      </c>
      <c r="C41" s="14" t="s">
        <v>48</v>
      </c>
      <c r="D41" s="35" t="e" cm="1">
        <f t="array" ref="D41">INDEX(GameStats!C:C, MATCH(1, (GameStats!A:A=A41)*(GameStats!D:D=1), 0))</f>
        <v>#N/A</v>
      </c>
      <c r="E41" s="16" t="e" cm="1">
        <f t="array" ref="E41">INDEX(GameStats!E:E, MATCH(1, (GameStats!A:A=A41)*(GameStats!D:D=1), 0))</f>
        <v>#N/A</v>
      </c>
      <c r="F41" s="16">
        <f>COUNTIF(GameStats!A:A,GameTracker!A41)</f>
        <v>0</v>
      </c>
    </row>
    <row r="42" spans="1:6" x14ac:dyDescent="0.3">
      <c r="A42" s="12">
        <v>41</v>
      </c>
      <c r="B42" s="13">
        <v>45247</v>
      </c>
      <c r="C42" s="14" t="s">
        <v>49</v>
      </c>
      <c r="D42" s="35" t="e" cm="1">
        <f t="array" ref="D42">INDEX(GameStats!C:C, MATCH(1, (GameStats!A:A=A42)*(GameStats!D:D=1), 0))</f>
        <v>#N/A</v>
      </c>
      <c r="E42" s="16" t="e" cm="1">
        <f t="array" ref="E42">INDEX(GameStats!E:E, MATCH(1, (GameStats!A:A=A42)*(GameStats!D:D=1), 0))</f>
        <v>#N/A</v>
      </c>
      <c r="F42" s="16">
        <f>COUNTIF(GameStats!A:A,GameTracker!A42)</f>
        <v>0</v>
      </c>
    </row>
    <row r="43" spans="1:6" x14ac:dyDescent="0.3">
      <c r="A43" s="12">
        <v>42</v>
      </c>
      <c r="B43" s="13">
        <v>45254</v>
      </c>
      <c r="C43" s="14" t="s">
        <v>50</v>
      </c>
      <c r="D43" s="35" t="e" cm="1">
        <f t="array" ref="D43">INDEX(GameStats!C:C, MATCH(1, (GameStats!A:A=A43)*(GameStats!D:D=1), 0))</f>
        <v>#N/A</v>
      </c>
      <c r="E43" s="16" t="e" cm="1">
        <f t="array" ref="E43">INDEX(GameStats!E:E, MATCH(1, (GameStats!A:A=A43)*(GameStats!D:D=1), 0))</f>
        <v>#N/A</v>
      </c>
      <c r="F43" s="16">
        <f>COUNTIF(GameStats!A:A,GameTracker!A43)</f>
        <v>0</v>
      </c>
    </row>
    <row r="44" spans="1:6" x14ac:dyDescent="0.3">
      <c r="A44" s="12">
        <v>43</v>
      </c>
      <c r="B44" s="13">
        <v>45261</v>
      </c>
      <c r="C44" s="14" t="s">
        <v>51</v>
      </c>
      <c r="D44" s="35" t="e" cm="1">
        <f t="array" ref="D44">INDEX(GameStats!C:C, MATCH(1, (GameStats!A:A=A44)*(GameStats!D:D=1), 0))</f>
        <v>#N/A</v>
      </c>
      <c r="E44" s="16" t="e" cm="1">
        <f t="array" ref="E44">INDEX(GameStats!E:E, MATCH(1, (GameStats!A:A=A44)*(GameStats!D:D=1), 0))</f>
        <v>#N/A</v>
      </c>
      <c r="F44" s="16">
        <f>COUNTIF(GameStats!A:A,GameTracker!A44)</f>
        <v>0</v>
      </c>
    </row>
    <row r="45" spans="1:6" x14ac:dyDescent="0.3">
      <c r="A45" s="12">
        <v>44</v>
      </c>
      <c r="B45" s="13">
        <v>45268</v>
      </c>
      <c r="C45" s="14" t="s">
        <v>52</v>
      </c>
      <c r="D45" s="35" t="e" cm="1">
        <f t="array" ref="D45">INDEX(GameStats!C:C, MATCH(1, (GameStats!A:A=A45)*(GameStats!D:D=1), 0))</f>
        <v>#N/A</v>
      </c>
      <c r="E45" s="16" t="e" cm="1">
        <f t="array" ref="E45">INDEX(GameStats!E:E, MATCH(1, (GameStats!A:A=A45)*(GameStats!D:D=1), 0))</f>
        <v>#N/A</v>
      </c>
      <c r="F45" s="16">
        <f>COUNTIF(GameStats!A:A,GameTracker!A45)</f>
        <v>0</v>
      </c>
    </row>
    <row r="46" spans="1:6" x14ac:dyDescent="0.3">
      <c r="A46" s="12">
        <v>45</v>
      </c>
      <c r="B46" s="13">
        <v>45275</v>
      </c>
      <c r="C46" s="14" t="s">
        <v>53</v>
      </c>
      <c r="D46" s="35" t="e" cm="1">
        <f t="array" ref="D46">INDEX(GameStats!C:C, MATCH(1, (GameStats!A:A=A46)*(GameStats!D:D=1), 0))</f>
        <v>#N/A</v>
      </c>
      <c r="E46" s="16" t="e" cm="1">
        <f t="array" ref="E46">INDEX(GameStats!E:E, MATCH(1, (GameStats!A:A=A46)*(GameStats!D:D=1), 0))</f>
        <v>#N/A</v>
      </c>
      <c r="F46" s="16">
        <f>COUNTIF(GameStats!A:A,GameTracker!A46)</f>
        <v>0</v>
      </c>
    </row>
    <row r="47" spans="1:6" x14ac:dyDescent="0.3">
      <c r="A47" s="12">
        <v>46</v>
      </c>
      <c r="B47" s="13">
        <v>45282</v>
      </c>
      <c r="C47" s="14" t="s">
        <v>54</v>
      </c>
      <c r="D47" s="35" t="e" cm="1">
        <f t="array" ref="D47">INDEX(GameStats!C:C, MATCH(1, (GameStats!A:A=A47)*(GameStats!D:D=1), 0))</f>
        <v>#N/A</v>
      </c>
      <c r="E47" s="16" t="e" cm="1">
        <f t="array" ref="E47">INDEX(GameStats!E:E, MATCH(1, (GameStats!A:A=A47)*(GameStats!D:D=1), 0))</f>
        <v>#N/A</v>
      </c>
      <c r="F47" s="16">
        <f>COUNTIF(GameStats!A:A,GameTracker!A47)</f>
        <v>0</v>
      </c>
    </row>
    <row r="48" spans="1:6" x14ac:dyDescent="0.3">
      <c r="A48" s="12">
        <v>47</v>
      </c>
      <c r="B48" s="13">
        <v>45289</v>
      </c>
      <c r="C48" s="14" t="s">
        <v>55</v>
      </c>
      <c r="D48" s="35" t="e" cm="1">
        <f t="array" ref="D48">INDEX(GameStats!C:C, MATCH(1, (GameStats!A:A=A48)*(GameStats!D:D=1), 0))</f>
        <v>#N/A</v>
      </c>
      <c r="E48" s="16" t="e" cm="1">
        <f t="array" ref="E48">INDEX(GameStats!E:E, MATCH(1, (GameStats!A:A=A48)*(GameStats!D:D=1), 0))</f>
        <v>#N/A</v>
      </c>
      <c r="F48" s="16">
        <f>COUNTIF(GameStats!A:A,GameTracker!A48)</f>
        <v>0</v>
      </c>
    </row>
    <row r="49" spans="1:6" x14ac:dyDescent="0.3">
      <c r="A49" s="12">
        <v>48</v>
      </c>
      <c r="B49" s="13">
        <v>45296</v>
      </c>
      <c r="C49" s="14" t="s">
        <v>56</v>
      </c>
      <c r="D49" s="35" t="e" cm="1">
        <f t="array" ref="D49">INDEX(GameStats!C:C, MATCH(1, (GameStats!A:A=A49)*(GameStats!D:D=1), 0))</f>
        <v>#N/A</v>
      </c>
      <c r="E49" s="16" t="e" cm="1">
        <f t="array" ref="E49">INDEX(GameStats!E:E, MATCH(1, (GameStats!A:A=A49)*(GameStats!D:D=1), 0))</f>
        <v>#N/A</v>
      </c>
      <c r="F49" s="16">
        <f>COUNTIF(GameStats!A:A,GameTracker!A49)</f>
        <v>0</v>
      </c>
    </row>
    <row r="50" spans="1:6" x14ac:dyDescent="0.3">
      <c r="A50" s="12">
        <v>49</v>
      </c>
      <c r="B50" s="13">
        <v>45303</v>
      </c>
      <c r="C50" s="14" t="s">
        <v>57</v>
      </c>
      <c r="D50" s="35" t="e" cm="1">
        <f t="array" ref="D50">INDEX(GameStats!C:C, MATCH(1, (GameStats!A:A=A50)*(GameStats!D:D=1), 0))</f>
        <v>#N/A</v>
      </c>
      <c r="E50" s="16" t="e" cm="1">
        <f t="array" ref="E50">INDEX(GameStats!E:E, MATCH(1, (GameStats!A:A=A50)*(GameStats!D:D=1), 0))</f>
        <v>#N/A</v>
      </c>
      <c r="F50" s="16">
        <f>COUNTIF(GameStats!A:A,GameTracker!A50)</f>
        <v>0</v>
      </c>
    </row>
    <row r="51" spans="1:6" x14ac:dyDescent="0.3">
      <c r="A51" s="12">
        <v>50</v>
      </c>
      <c r="B51" s="13">
        <v>45310</v>
      </c>
      <c r="C51" s="14" t="s">
        <v>58</v>
      </c>
      <c r="D51" s="35" t="e" cm="1">
        <f t="array" ref="D51">INDEX(GameStats!C:C, MATCH(1, (GameStats!A:A=A51)*(GameStats!D:D=1), 0))</f>
        <v>#N/A</v>
      </c>
      <c r="E51" s="16" t="e" cm="1">
        <f t="array" ref="E51">INDEX(GameStats!E:E, MATCH(1, (GameStats!A:A=A51)*(GameStats!D:D=1), 0))</f>
        <v>#N/A</v>
      </c>
      <c r="F51" s="16">
        <f>COUNTIF(GameStats!A:A,GameTracker!A51)</f>
        <v>0</v>
      </c>
    </row>
    <row r="52" spans="1:6" x14ac:dyDescent="0.3">
      <c r="A52" s="12">
        <v>51</v>
      </c>
      <c r="B52" s="13">
        <v>45317</v>
      </c>
      <c r="C52" s="14" t="s">
        <v>59</v>
      </c>
      <c r="D52" s="35" t="e" cm="1">
        <f t="array" ref="D52">INDEX(GameStats!C:C, MATCH(1, (GameStats!A:A=A52)*(GameStats!D:D=1), 0))</f>
        <v>#N/A</v>
      </c>
      <c r="E52" s="16" t="e" cm="1">
        <f t="array" ref="E52">INDEX(GameStats!E:E, MATCH(1, (GameStats!A:A=A52)*(GameStats!D:D=1), 0))</f>
        <v>#N/A</v>
      </c>
      <c r="F52" s="16">
        <f>COUNTIF(GameStats!A:A,GameTracker!A52)</f>
        <v>0</v>
      </c>
    </row>
    <row r="53" spans="1:6" x14ac:dyDescent="0.3">
      <c r="A53" s="12">
        <v>52</v>
      </c>
      <c r="B53" s="13">
        <v>45324</v>
      </c>
      <c r="C53" s="14" t="s">
        <v>60</v>
      </c>
      <c r="D53" s="35" t="e" cm="1">
        <f t="array" ref="D53">INDEX(GameStats!C:C, MATCH(1, (GameStats!A:A=A53)*(GameStats!D:D=1), 0))</f>
        <v>#N/A</v>
      </c>
      <c r="E53" s="16" t="e" cm="1">
        <f t="array" ref="E53">INDEX(GameStats!E:E, MATCH(1, (GameStats!A:A=A53)*(GameStats!D:D=1), 0))</f>
        <v>#N/A</v>
      </c>
      <c r="F53" s="16">
        <f>COUNTIF(GameStats!A:A,GameTracker!A53)</f>
        <v>0</v>
      </c>
    </row>
    <row r="54" spans="1:6" x14ac:dyDescent="0.3">
      <c r="A54" s="12">
        <v>53</v>
      </c>
      <c r="B54" s="13">
        <v>45331</v>
      </c>
      <c r="C54" s="14" t="s">
        <v>61</v>
      </c>
      <c r="D54" s="35" t="e" cm="1">
        <f t="array" ref="D54">INDEX(GameStats!C:C, MATCH(1, (GameStats!A:A=A54)*(GameStats!D:D=1), 0))</f>
        <v>#N/A</v>
      </c>
      <c r="E54" s="16" t="e" cm="1">
        <f t="array" ref="E54">INDEX(GameStats!E:E, MATCH(1, (GameStats!A:A=A54)*(GameStats!D:D=1), 0))</f>
        <v>#N/A</v>
      </c>
      <c r="F54" s="16">
        <f>COUNTIF(GameStats!A:A,GameTracker!A54)</f>
        <v>0</v>
      </c>
    </row>
    <row r="55" spans="1:6" x14ac:dyDescent="0.3">
      <c r="A55" s="12">
        <v>54</v>
      </c>
      <c r="B55" s="13">
        <v>45338</v>
      </c>
      <c r="C55" s="14" t="s">
        <v>62</v>
      </c>
      <c r="D55" s="35" t="e" cm="1">
        <f t="array" ref="D55">INDEX(GameStats!C:C, MATCH(1, (GameStats!A:A=A55)*(GameStats!D:D=1), 0))</f>
        <v>#N/A</v>
      </c>
      <c r="E55" s="16" t="e" cm="1">
        <f t="array" ref="E55">INDEX(GameStats!E:E, MATCH(1, (GameStats!A:A=A55)*(GameStats!D:D=1), 0))</f>
        <v>#N/A</v>
      </c>
      <c r="F55" s="16">
        <f>COUNTIF(GameStats!A:A,GameTracker!A55)</f>
        <v>0</v>
      </c>
    </row>
    <row r="56" spans="1:6" x14ac:dyDescent="0.3">
      <c r="A56" s="12">
        <v>55</v>
      </c>
      <c r="B56" s="13">
        <v>45345</v>
      </c>
      <c r="C56" s="14" t="s">
        <v>63</v>
      </c>
      <c r="D56" s="35" t="e" cm="1">
        <f t="array" ref="D56">INDEX(GameStats!C:C, MATCH(1, (GameStats!A:A=A56)*(GameStats!D:D=1), 0))</f>
        <v>#N/A</v>
      </c>
      <c r="E56" s="16" t="e" cm="1">
        <f t="array" ref="E56">INDEX(GameStats!E:E, MATCH(1, (GameStats!A:A=A56)*(GameStats!D:D=1), 0))</f>
        <v>#N/A</v>
      </c>
      <c r="F56" s="16">
        <f>COUNTIF(GameStats!A:A,GameTracker!A56)</f>
        <v>0</v>
      </c>
    </row>
    <row r="57" spans="1:6" x14ac:dyDescent="0.3">
      <c r="A57" s="12">
        <v>56</v>
      </c>
      <c r="B57" s="13">
        <v>45352</v>
      </c>
      <c r="C57" s="14" t="s">
        <v>64</v>
      </c>
      <c r="D57" s="35" t="e" cm="1">
        <f t="array" ref="D57">INDEX(GameStats!C:C, MATCH(1, (GameStats!A:A=A57)*(GameStats!D:D=1), 0))</f>
        <v>#N/A</v>
      </c>
      <c r="E57" s="16" t="e" cm="1">
        <f t="array" ref="E57">INDEX(GameStats!E:E, MATCH(1, (GameStats!A:A=A57)*(GameStats!D:D=1), 0))</f>
        <v>#N/A</v>
      </c>
      <c r="F57" s="16">
        <f>COUNTIF(GameStats!A:A,GameTracker!A57)</f>
        <v>0</v>
      </c>
    </row>
    <row r="58" spans="1:6" x14ac:dyDescent="0.3">
      <c r="A58" s="12">
        <v>57</v>
      </c>
      <c r="B58" s="13">
        <v>45359</v>
      </c>
      <c r="C58" s="14" t="s">
        <v>65</v>
      </c>
      <c r="D58" s="35" t="e" cm="1">
        <f t="array" ref="D58">INDEX(GameStats!C:C, MATCH(1, (GameStats!A:A=A58)*(GameStats!D:D=1), 0))</f>
        <v>#N/A</v>
      </c>
      <c r="E58" s="16" t="e" cm="1">
        <f t="array" ref="E58">INDEX(GameStats!E:E, MATCH(1, (GameStats!A:A=A58)*(GameStats!D:D=1), 0))</f>
        <v>#N/A</v>
      </c>
      <c r="F58" s="16">
        <f>COUNTIF(GameStats!A:A,GameTracker!A58)</f>
        <v>0</v>
      </c>
    </row>
    <row r="59" spans="1:6" x14ac:dyDescent="0.3">
      <c r="A59" s="12">
        <v>58</v>
      </c>
      <c r="B59" s="13">
        <v>45366</v>
      </c>
      <c r="C59" s="14" t="s">
        <v>66</v>
      </c>
      <c r="D59" s="35" t="str" cm="1">
        <f t="array" ref="D59">INDEX(GameStats!C:C, MATCH(1, (GameStats!A:A=A59)*(GameStats!D:D=1), 0))</f>
        <v>none</v>
      </c>
      <c r="E59" s="16" cm="1">
        <f t="array" ref="E59">INDEX(GameStats!E:E, MATCH(1, (GameStats!A:A=A59)*(GameStats!D:D=1), 0))</f>
        <v>178</v>
      </c>
      <c r="F59" s="16">
        <f>COUNTIF(GameStats!A:A,GameTracker!A59)</f>
        <v>22</v>
      </c>
    </row>
    <row r="60" spans="1:6" x14ac:dyDescent="0.3">
      <c r="A60" s="44">
        <v>59</v>
      </c>
      <c r="B60" s="45">
        <v>45373</v>
      </c>
      <c r="C60" s="46" t="s">
        <v>67</v>
      </c>
      <c r="D60" s="47" t="str" cm="1">
        <f t="array" ref="D60">INDEX(GameStats!C:C, MATCH(1, (GameStats!A:A=A60)*(GameStats!D:D=1), 0))</f>
        <v>smw</v>
      </c>
      <c r="E60" s="48" cm="1">
        <f t="array" ref="E60">INDEX(GameStats!E:E, MATCH(1, (GameStats!A:A=A60)*(GameStats!D:D=1), 0))</f>
        <v>118</v>
      </c>
      <c r="F60" s="48">
        <f>COUNTIF(GameStats!A:A,GameTracker!A60)</f>
        <v>23</v>
      </c>
    </row>
    <row r="61" spans="1:6" x14ac:dyDescent="0.3">
      <c r="A61" s="44">
        <v>60</v>
      </c>
      <c r="B61" s="45">
        <v>45380</v>
      </c>
      <c r="C61" s="46" t="s">
        <v>68</v>
      </c>
      <c r="D61" s="47" t="str" cm="1">
        <f t="array" ref="D61">INDEX(GameStats!C:C, MATCH(1, (GameStats!A:A=A61)*(GameStats!D:D=1), 0))</f>
        <v>erikthegreat</v>
      </c>
      <c r="E61" s="48" cm="1">
        <f t="array" ref="E61">INDEX(GameStats!E:E, MATCH(1, (GameStats!A:A=A61)*(GameStats!D:D=1), 0))</f>
        <v>181</v>
      </c>
      <c r="F61" s="48">
        <f>COUNTIF(GameStats!A:A,GameTracker!A61)</f>
        <v>23</v>
      </c>
    </row>
    <row r="62" spans="1:6" x14ac:dyDescent="0.3">
      <c r="A62" s="44">
        <v>61</v>
      </c>
      <c r="B62" s="45">
        <v>45387</v>
      </c>
      <c r="C62" s="46" t="s">
        <v>69</v>
      </c>
      <c r="D62" s="47" t="str" cm="1">
        <f t="array" ref="D62">INDEX(GameStats!C:C, MATCH(1, (GameStats!A:A=A62)*(GameStats!D:D=1), 0))</f>
        <v>taptheslap</v>
      </c>
      <c r="E62" s="48" cm="1">
        <f t="array" ref="E62">INDEX(GameStats!E:E, MATCH(1, (GameStats!A:A=A62)*(GameStats!D:D=1), 0))</f>
        <v>253</v>
      </c>
      <c r="F62" s="48">
        <f>COUNTIF(GameStats!A:A,GameTracker!A62)</f>
        <v>23</v>
      </c>
    </row>
    <row r="63" spans="1:6" x14ac:dyDescent="0.3">
      <c r="A63" s="44">
        <v>62</v>
      </c>
      <c r="B63" s="45">
        <v>45394</v>
      </c>
      <c r="C63" s="46" t="s">
        <v>70</v>
      </c>
      <c r="D63" s="47" t="str" cm="1">
        <f t="array" ref="D63">INDEX(GameStats!C:C, MATCH(1, (GameStats!A:A=A63)*(GameStats!D:D=1), 0))</f>
        <v>Coldmist</v>
      </c>
      <c r="E63" s="48" cm="1">
        <f t="array" ref="E63">INDEX(GameStats!E:E, MATCH(1, (GameStats!A:A=A63)*(GameStats!D:D=1), 0))</f>
        <v>180</v>
      </c>
      <c r="F63" s="48">
        <f>COUNTIF(GameStats!A:A,GameTracker!A63)</f>
        <v>22</v>
      </c>
    </row>
    <row r="64" spans="1:6" x14ac:dyDescent="0.3">
      <c r="A64" s="44">
        <v>63</v>
      </c>
      <c r="B64" s="45">
        <v>45401</v>
      </c>
      <c r="C64" s="46" t="s">
        <v>71</v>
      </c>
      <c r="D64" s="47" t="str" cm="1">
        <f t="array" ref="D64">INDEX(GameStats!C:C, MATCH(1, (GameStats!A:A=A64)*(GameStats!D:D=1), 0))</f>
        <v>taptheslap</v>
      </c>
      <c r="E64" s="48" cm="1">
        <f t="array" ref="E64">INDEX(GameStats!E:E, MATCH(1, (GameStats!A:A=A64)*(GameStats!D:D=1), 0))</f>
        <v>117</v>
      </c>
      <c r="F64" s="48">
        <f>COUNTIF(GameStats!A:A,GameTracker!A64)</f>
        <v>23</v>
      </c>
    </row>
    <row r="65" spans="1:7" x14ac:dyDescent="0.3">
      <c r="A65" s="44">
        <v>64</v>
      </c>
      <c r="B65" s="45">
        <v>45408</v>
      </c>
      <c r="C65" s="46" t="s">
        <v>72</v>
      </c>
      <c r="D65" s="47" t="str" cm="1">
        <f t="array" ref="D65">INDEX(GameStats!C:C, MATCH(1, (GameStats!A:A=A65)*(GameStats!D:D=1), 0))</f>
        <v>Mokkalokka</v>
      </c>
      <c r="E65" s="48" cm="1">
        <f t="array" ref="E65">INDEX(GameStats!E:E, MATCH(1, (GameStats!A:A=A65)*(GameStats!D:D=1), 0))</f>
        <v>221</v>
      </c>
      <c r="F65" s="48">
        <f>COUNTIF(GameStats!A:A,GameTracker!A65)</f>
        <v>22</v>
      </c>
    </row>
    <row r="66" spans="1:7" x14ac:dyDescent="0.3">
      <c r="A66" s="44">
        <v>65</v>
      </c>
      <c r="B66" s="45">
        <v>45415</v>
      </c>
      <c r="C66" s="46" t="s">
        <v>73</v>
      </c>
      <c r="D66" s="47" t="str" cm="1">
        <f t="array" ref="D66">INDEX(GameStats!C:C, MATCH(1, (GameStats!A:A=A66)*(GameStats!D:D=1), 0))</f>
        <v>MSCIWORLD</v>
      </c>
      <c r="E66" s="48" cm="1">
        <f t="array" ref="E66">INDEX(GameStats!E:E, MATCH(1, (GameStats!A:A=A66)*(GameStats!D:D=1), 0))</f>
        <v>81</v>
      </c>
      <c r="F66" s="48">
        <f>COUNTIF(GameStats!A:A,GameTracker!A66)</f>
        <v>23</v>
      </c>
    </row>
    <row r="67" spans="1:7" x14ac:dyDescent="0.3">
      <c r="A67" s="44">
        <v>66</v>
      </c>
      <c r="B67" s="45">
        <v>45422</v>
      </c>
      <c r="C67" s="46" t="s">
        <v>74</v>
      </c>
      <c r="D67" s="47" t="str" cm="1">
        <f t="array" ref="D67">INDEX(GameStats!C:C, MATCH(1, (GameStats!A:A=A67)*(GameStats!D:D=1), 0))</f>
        <v>TDawg</v>
      </c>
      <c r="E67" s="48" cm="1">
        <f t="array" ref="E67">INDEX(GameStats!E:E, MATCH(1, (GameStats!A:A=A67)*(GameStats!D:D=1), 0))</f>
        <v>160</v>
      </c>
      <c r="F67" s="48">
        <f>COUNTIF(GameStats!A:A,GameTracker!A67)</f>
        <v>23</v>
      </c>
    </row>
    <row r="68" spans="1:7" x14ac:dyDescent="0.3">
      <c r="A68" s="44">
        <v>67</v>
      </c>
      <c r="B68" s="45">
        <v>45429</v>
      </c>
      <c r="C68" s="46" t="s">
        <v>75</v>
      </c>
      <c r="D68" s="47" t="str" cm="1">
        <f t="array" ref="D68">INDEX(GameStats!C:C, MATCH(1, (GameStats!A:A=A68)*(GameStats!D:D=1), 0))</f>
        <v>FremderWolf</v>
      </c>
      <c r="E68" s="48" cm="1">
        <f t="array" ref="E68">INDEX(GameStats!E:E, MATCH(1, (GameStats!A:A=A68)*(GameStats!D:D=1), 0))</f>
        <v>105</v>
      </c>
      <c r="F68" s="48">
        <f>COUNTIF(GameStats!A:A,GameTracker!A68)</f>
        <v>23</v>
      </c>
    </row>
    <row r="69" spans="1:7" x14ac:dyDescent="0.3">
      <c r="A69" s="44">
        <v>68</v>
      </c>
      <c r="B69" s="45">
        <v>45436</v>
      </c>
      <c r="C69" s="46" t="s">
        <v>76</v>
      </c>
      <c r="D69" s="47" t="str" cm="1">
        <f t="array" ref="D69">INDEX(GameStats!C:C, MATCH(1, (GameStats!A:A=A69)*(GameStats!D:D=1), 0))</f>
        <v>MSCIWORLD</v>
      </c>
      <c r="E69" s="48" cm="1">
        <f t="array" ref="E69">INDEX(GameStats!E:E, MATCH(1, (GameStats!A:A=A69)*(GameStats!D:D=1), 0))</f>
        <v>179</v>
      </c>
      <c r="F69" s="48">
        <f>COUNTIF(GameStats!A:A,GameTracker!A69)</f>
        <v>23</v>
      </c>
    </row>
    <row r="70" spans="1:7" x14ac:dyDescent="0.3">
      <c r="A70" s="44">
        <v>69</v>
      </c>
      <c r="B70" s="45">
        <v>45443</v>
      </c>
      <c r="C70" s="46" t="s">
        <v>77</v>
      </c>
      <c r="D70" s="47" t="str" cm="1">
        <f t="array" ref="D70">INDEX(GameStats!C:C, MATCH(1, (GameStats!A:A=A70)*(GameStats!D:D=1), 0))</f>
        <v>Soxu</v>
      </c>
      <c r="E70" s="48" cm="1">
        <f t="array" ref="E70">INDEX(GameStats!E:E, MATCH(1, (GameStats!A:A=A70)*(GameStats!D:D=1), 0))</f>
        <v>119</v>
      </c>
      <c r="F70" s="48">
        <f>COUNTIF(GameStats!A:A,GameTracker!A70)</f>
        <v>23</v>
      </c>
    </row>
    <row r="71" spans="1:7" x14ac:dyDescent="0.3">
      <c r="A71" s="44">
        <v>70</v>
      </c>
      <c r="B71" s="45">
        <v>45450</v>
      </c>
      <c r="C71" s="46" t="s">
        <v>78</v>
      </c>
      <c r="D71" s="47" t="str" cm="1">
        <f t="array" ref="D71">INDEX(GameStats!C:C, MATCH(1, (GameStats!A:A=A71)*(GameStats!D:D=1), 0))</f>
        <v>SoXu</v>
      </c>
      <c r="E71" s="48" cm="1">
        <f t="array" ref="E71">INDEX(GameStats!E:E, MATCH(1, (GameStats!A:A=A71)*(GameStats!D:D=1), 0))</f>
        <v>111</v>
      </c>
      <c r="F71" s="48">
        <f>COUNTIF(GameStats!A:A,GameTracker!A71)</f>
        <v>23</v>
      </c>
    </row>
    <row r="72" spans="1:7" x14ac:dyDescent="0.3">
      <c r="A72" s="44">
        <v>71</v>
      </c>
      <c r="B72" s="45">
        <v>45457</v>
      </c>
      <c r="C72" s="46" t="s">
        <v>79</v>
      </c>
      <c r="D72" s="47" t="str" cm="1">
        <f t="array" ref="D72">INDEX(GameStats!C:C, MATCH(1, (GameStats!A:A=A72)*(GameStats!D:D=1), 0))</f>
        <v>MinaMoto</v>
      </c>
      <c r="E72" s="48" cm="1">
        <f t="array" ref="E72">INDEX(GameStats!E:E, MATCH(1, (GameStats!A:A=A72)*(GameStats!D:D=1), 0))</f>
        <v>116</v>
      </c>
      <c r="F72" s="48">
        <f>COUNTIF(GameStats!A:A,GameTracker!A72)</f>
        <v>23</v>
      </c>
    </row>
    <row r="73" spans="1:7" x14ac:dyDescent="0.3">
      <c r="A73" s="44">
        <v>72</v>
      </c>
      <c r="B73" s="45">
        <v>45464</v>
      </c>
      <c r="C73" s="46" t="s">
        <v>80</v>
      </c>
      <c r="D73" s="47" t="str" cm="1">
        <f t="array" ref="D73">INDEX(GameStats!C:C, MATCH(1, (GameStats!A:A=A73)*(GameStats!D:D=1), 0))</f>
        <v>bambucha21</v>
      </c>
      <c r="E73" s="48" cm="1">
        <f t="array" ref="E73">INDEX(GameStats!E:E, MATCH(1, (GameStats!A:A=A73)*(GameStats!D:D=1), 0))</f>
        <v>199</v>
      </c>
      <c r="F73" s="48">
        <f>COUNTIF(GameStats!A:A,GameTracker!A73)</f>
        <v>22</v>
      </c>
    </row>
    <row r="74" spans="1:7" x14ac:dyDescent="0.3">
      <c r="A74" s="44">
        <v>73</v>
      </c>
      <c r="B74" s="45">
        <v>45471</v>
      </c>
      <c r="C74" s="46" t="s">
        <v>81</v>
      </c>
      <c r="D74" s="47" t="str" cm="1">
        <f t="array" ref="D74">INDEX(GameStats!C:C, MATCH(1, (GameStats!A:A=A74)*(GameStats!D:D=1), 0))</f>
        <v>MSCIWORLD</v>
      </c>
      <c r="E74" s="48" cm="1">
        <f t="array" ref="E74">INDEX(GameStats!E:E, MATCH(1, (GameStats!A:A=A74)*(GameStats!D:D=1), 0))</f>
        <v>107</v>
      </c>
      <c r="F74" s="48">
        <f>COUNTIF(GameStats!A:A,GameTracker!A74)</f>
        <v>23</v>
      </c>
    </row>
    <row r="75" spans="1:7" x14ac:dyDescent="0.3">
      <c r="A75" s="44">
        <v>74</v>
      </c>
      <c r="B75" s="45">
        <v>45478</v>
      </c>
      <c r="C75" s="46" t="s">
        <v>82</v>
      </c>
      <c r="D75" s="47" t="str" cm="1">
        <f t="array" ref="D75">INDEX(GameStats!C:C, MATCH(1, (GameStats!A:A=A75)*(GameStats!D:D=1), 0))</f>
        <v>MinaMoto</v>
      </c>
      <c r="E75" s="48" cm="1">
        <f t="array" ref="E75">INDEX(GameStats!E:E, MATCH(1, (GameStats!A:A=A75)*(GameStats!D:D=1), 0))</f>
        <v>85</v>
      </c>
      <c r="F75" s="48">
        <f>COUNTIF(GameStats!A:A,GameTracker!A75)</f>
        <v>23</v>
      </c>
    </row>
    <row r="76" spans="1:7" x14ac:dyDescent="0.3">
      <c r="A76" s="12">
        <v>75</v>
      </c>
      <c r="B76" s="13">
        <v>45485</v>
      </c>
      <c r="C76" s="14" t="s">
        <v>83</v>
      </c>
      <c r="D76" s="36" t="e" cm="1">
        <f t="array" ref="D76">INDEX(GameStats!C:C, MATCH(1, (GameStats!A:A=A76)*(GameStats!D:D=1), 0))</f>
        <v>#N/A</v>
      </c>
      <c r="E76" s="34" t="e" cm="1">
        <f t="array" ref="E76">INDEX(GameStats!E:E, MATCH(1, (GameStats!A:A=A76)*(GameStats!D:D=1), 0))</f>
        <v>#N/A</v>
      </c>
      <c r="F76" s="34">
        <f>COUNTIF(GameStats!A:A,GameTracker!A76)</f>
        <v>0</v>
      </c>
      <c r="G76" t="s">
        <v>84</v>
      </c>
    </row>
    <row r="77" spans="1:7" x14ac:dyDescent="0.3">
      <c r="A77" s="44">
        <v>76</v>
      </c>
      <c r="B77" s="45">
        <v>45492</v>
      </c>
      <c r="C77" s="46" t="s">
        <v>85</v>
      </c>
      <c r="D77" s="47" t="str" cm="1">
        <f t="array" ref="D77">INDEX(GameStats!C:C, MATCH(1, (GameStats!A:A=A77)*(GameStats!D:D=1), 0))</f>
        <v>idorobots</v>
      </c>
      <c r="E77" s="48" cm="1">
        <f t="array" ref="E77">INDEX(GameStats!E:E, MATCH(1, (GameStats!A:A=A77)*(GameStats!D:D=1), 0))</f>
        <v>75</v>
      </c>
      <c r="F77" s="48">
        <f>COUNTIF(GameStats!A:A,GameTracker!A77)</f>
        <v>22</v>
      </c>
    </row>
    <row r="78" spans="1:7" x14ac:dyDescent="0.3">
      <c r="A78" s="44">
        <v>77</v>
      </c>
      <c r="B78" s="45">
        <v>45499</v>
      </c>
      <c r="C78" s="46" t="s">
        <v>86</v>
      </c>
      <c r="D78" s="47" t="str" cm="1">
        <f t="array" ref="D78">INDEX(GameStats!C:C, MATCH(1, (GameStats!A:A=A78)*(GameStats!D:D=1), 0))</f>
        <v>idorobots</v>
      </c>
      <c r="E78" s="48" cm="1">
        <f t="array" ref="E78">INDEX(GameStats!E:E, MATCH(1, (GameStats!A:A=A78)*(GameStats!D:D=1), 0))</f>
        <v>68</v>
      </c>
      <c r="F78" s="48">
        <f>COUNTIF(GameStats!A:A,GameTracker!A78)</f>
        <v>22</v>
      </c>
    </row>
    <row r="79" spans="1:7" x14ac:dyDescent="0.3">
      <c r="A79" s="44">
        <v>78</v>
      </c>
      <c r="B79" s="45">
        <v>45506</v>
      </c>
      <c r="C79" s="46" t="s">
        <v>87</v>
      </c>
      <c r="D79" s="47" t="str" cm="1">
        <f t="array" ref="D79">INDEX(GameStats!C:C, MATCH(1, (GameStats!A:A=A79)*(GameStats!D:D=1), 0))</f>
        <v>Powerstroke1</v>
      </c>
      <c r="E79" s="48" cm="1">
        <f t="array" ref="E79">INDEX(GameStats!E:E, MATCH(1, (GameStats!A:A=A79)*(GameStats!D:D=1), 0))</f>
        <v>173</v>
      </c>
      <c r="F79" s="48">
        <f>COUNTIF(GameStats!A:A,GameTracker!A79)</f>
        <v>22</v>
      </c>
    </row>
    <row r="80" spans="1:7" x14ac:dyDescent="0.3">
      <c r="A80" s="44">
        <v>79</v>
      </c>
      <c r="B80" s="45">
        <v>45513</v>
      </c>
      <c r="C80" s="46" t="s">
        <v>88</v>
      </c>
      <c r="D80" s="47" t="str" cm="1">
        <f t="array" ref="D80">INDEX(GameStats!C:C, MATCH(1, (GameStats!A:A=A80)*(GameStats!D:D=1), 0))</f>
        <v>Soxu</v>
      </c>
      <c r="E80" s="48" cm="1">
        <f t="array" ref="E80">INDEX(GameStats!E:E, MATCH(1, (GameStats!A:A=A80)*(GameStats!D:D=1), 0))</f>
        <v>121</v>
      </c>
      <c r="F80" s="48">
        <f>COUNTIF(GameStats!A:A,GameTracker!A80)</f>
        <v>22</v>
      </c>
    </row>
    <row r="81" spans="1:6" x14ac:dyDescent="0.3">
      <c r="A81" s="44">
        <v>80</v>
      </c>
      <c r="B81" s="45">
        <v>45520</v>
      </c>
      <c r="C81" s="49" t="s">
        <v>89</v>
      </c>
      <c r="D81" s="47" t="str" cm="1">
        <f t="array" ref="D81">INDEX(GameStats!C:C, MATCH(1, (GameStats!A:A=A81)*(GameStats!D:D=1), 0))</f>
        <v>Smw</v>
      </c>
      <c r="E81" s="48" cm="1">
        <f t="array" ref="E81">INDEX(GameStats!E:E, MATCH(1, (GameStats!A:A=A81)*(GameStats!D:D=1), 0))</f>
        <v>205</v>
      </c>
      <c r="F81" s="48">
        <f>COUNTIF(GameStats!A:A,GameTracker!A81)</f>
        <v>23</v>
      </c>
    </row>
    <row r="82" spans="1:6" x14ac:dyDescent="0.3">
      <c r="A82" s="44">
        <v>81</v>
      </c>
      <c r="B82" s="45">
        <v>45527</v>
      </c>
      <c r="C82" s="46" t="s">
        <v>90</v>
      </c>
      <c r="D82" s="47" t="str" cm="1">
        <f t="array" ref="D82">INDEX(GameStats!C:C, MATCH(1, (GameStats!A:A=A82)*(GameStats!D:D=1), 0))</f>
        <v>SoXu</v>
      </c>
      <c r="E82" s="48" cm="1">
        <f t="array" ref="E82">INDEX(GameStats!E:E, MATCH(1, (GameStats!A:A=A82)*(GameStats!D:D=1), 0))</f>
        <v>134</v>
      </c>
      <c r="F82" s="48">
        <f>COUNTIF(GameStats!A:A,GameTracker!A82)</f>
        <v>23</v>
      </c>
    </row>
    <row r="83" spans="1:6" x14ac:dyDescent="0.3">
      <c r="A83" s="44">
        <v>82</v>
      </c>
      <c r="B83" s="45">
        <v>45534</v>
      </c>
      <c r="C83" s="46" t="s">
        <v>91</v>
      </c>
      <c r="D83" s="47" t="str" cm="1">
        <f t="array" ref="D83">INDEX(GameStats!C:C, MATCH(1, (GameStats!A:A=A83)*(GameStats!D:D=1), 0))</f>
        <v>easterbunny</v>
      </c>
      <c r="E83" s="48" cm="1">
        <f t="array" ref="E83">INDEX(GameStats!E:E, MATCH(1, (GameStats!A:A=A83)*(GameStats!D:D=1), 0))</f>
        <v>103</v>
      </c>
      <c r="F83" s="48">
        <f>COUNTIF(GameStats!A:A,GameTracker!A83)</f>
        <v>23</v>
      </c>
    </row>
    <row r="84" spans="1:6" x14ac:dyDescent="0.3">
      <c r="A84" s="44">
        <v>83</v>
      </c>
      <c r="B84" s="45">
        <v>45541</v>
      </c>
      <c r="C84" s="46" t="s">
        <v>92</v>
      </c>
      <c r="D84" s="47" t="str" cm="1">
        <f t="array" ref="D84">INDEX(GameStats!C:C, MATCH(1, (GameStats!A:A=A84)*(GameStats!D:D=1), 0))</f>
        <v>SoXu</v>
      </c>
      <c r="E84" s="48" cm="1">
        <f t="array" ref="E84">INDEX(GameStats!E:E, MATCH(1, (GameStats!A:A=A84)*(GameStats!D:D=1), 0))</f>
        <v>120</v>
      </c>
      <c r="F84" s="48">
        <f>COUNTIF(GameStats!A:A,GameTracker!A84)</f>
        <v>22</v>
      </c>
    </row>
    <row r="85" spans="1:6" x14ac:dyDescent="0.3">
      <c r="A85" s="44">
        <v>84</v>
      </c>
      <c r="B85" s="45">
        <v>45548</v>
      </c>
      <c r="C85" s="46" t="s">
        <v>93</v>
      </c>
      <c r="D85" s="47" t="str" cm="1">
        <f t="array" ref="D85">INDEX(GameStats!C:C, MATCH(1, (GameStats!A:A=A85)*(GameStats!D:D=1), 0))</f>
        <v>Faker</v>
      </c>
      <c r="E85" s="48" cm="1">
        <f t="array" ref="E85">INDEX(GameStats!E:E, MATCH(1, (GameStats!A:A=A85)*(GameStats!D:D=1), 0))</f>
        <v>171</v>
      </c>
      <c r="F85" s="48">
        <f>COUNTIF(GameStats!A:A,GameTracker!A85)</f>
        <v>23</v>
      </c>
    </row>
    <row r="86" spans="1:6" x14ac:dyDescent="0.3">
      <c r="A86" s="44">
        <v>85</v>
      </c>
      <c r="B86" s="45">
        <v>45555</v>
      </c>
      <c r="C86" s="46" t="s">
        <v>94</v>
      </c>
      <c r="D86" s="47" t="str" cm="1">
        <f t="array" ref="D86">INDEX(GameStats!C:C, MATCH(1, (GameStats!A:A=A86)*(GameStats!D:D=1), 0))</f>
        <v>MSCIWORLD</v>
      </c>
      <c r="E86" s="48" cm="1">
        <f t="array" ref="E86">INDEX(GameStats!E:E, MATCH(1, (GameStats!A:A=A86)*(GameStats!D:D=1), 0))</f>
        <v>120</v>
      </c>
      <c r="F86" s="48">
        <f>COUNTIF(GameStats!A:A,GameTracker!A86)</f>
        <v>23</v>
      </c>
    </row>
    <row r="87" spans="1:6" x14ac:dyDescent="0.3">
      <c r="A87" s="44">
        <v>86</v>
      </c>
      <c r="B87" s="45">
        <v>45562</v>
      </c>
      <c r="C87" s="46" t="s">
        <v>95</v>
      </c>
      <c r="D87" s="47" t="str" cm="1">
        <f t="array" ref="D87">INDEX(GameStats!C:C, MATCH(1, (GameStats!A:A=A87)*(GameStats!D:D=1), 0))</f>
        <v>MSCIWORLD</v>
      </c>
      <c r="E87" s="48" cm="1">
        <f t="array" ref="E87">INDEX(GameStats!E:E, MATCH(1, (GameStats!A:A=A87)*(GameStats!D:D=1), 0))</f>
        <v>89</v>
      </c>
      <c r="F87" s="48">
        <f>COUNTIF(GameStats!A:A,GameTracker!A87)</f>
        <v>23</v>
      </c>
    </row>
    <row r="88" spans="1:6" x14ac:dyDescent="0.3">
      <c r="A88" s="44">
        <v>87</v>
      </c>
      <c r="B88" s="45">
        <v>45569</v>
      </c>
      <c r="C88" s="46" t="s">
        <v>96</v>
      </c>
      <c r="D88" s="47" t="str" cm="1">
        <f t="array" ref="D88">INDEX(GameStats!C:C, MATCH(1, (GameStats!A:A=A88)*(GameStats!D:D=1), 0))</f>
        <v>Neo</v>
      </c>
      <c r="E88" s="48" cm="1">
        <f t="array" ref="E88">INDEX(GameStats!E:E, MATCH(1, (GameStats!A:A=A88)*(GameStats!D:D=1), 0))</f>
        <v>167</v>
      </c>
      <c r="F88" s="48">
        <f>COUNTIF(GameStats!A:A,GameTracker!A88)</f>
        <v>22</v>
      </c>
    </row>
    <row r="89" spans="1:6" x14ac:dyDescent="0.3">
      <c r="A89" s="9"/>
      <c r="B89" s="10"/>
      <c r="C89" s="8"/>
      <c r="D89" s="7"/>
      <c r="E89" s="7"/>
      <c r="F89" s="7"/>
    </row>
    <row r="90" spans="1:6" x14ac:dyDescent="0.3">
      <c r="A90" s="9"/>
      <c r="B90" s="11"/>
      <c r="C90" s="8"/>
      <c r="D90" s="7"/>
      <c r="E90" s="7"/>
      <c r="F90" s="7"/>
    </row>
    <row r="91" spans="1:6" x14ac:dyDescent="0.3">
      <c r="A91" s="9"/>
      <c r="B91" s="11"/>
      <c r="C91" s="8"/>
      <c r="D91" s="7"/>
      <c r="E91" s="7"/>
      <c r="F91" s="7"/>
    </row>
    <row r="92" spans="1:6" x14ac:dyDescent="0.3">
      <c r="A92" s="9"/>
      <c r="B92" s="11"/>
      <c r="C92" s="8"/>
      <c r="D92" s="7"/>
      <c r="E92" s="7"/>
      <c r="F92" s="7"/>
    </row>
    <row r="93" spans="1:6" x14ac:dyDescent="0.3">
      <c r="A93" s="9"/>
      <c r="B93" s="11"/>
      <c r="C93" s="8"/>
      <c r="D93" s="7"/>
      <c r="E93" s="7"/>
      <c r="F93" s="7"/>
    </row>
    <row r="94" spans="1:6" x14ac:dyDescent="0.3">
      <c r="A94" s="9"/>
      <c r="B94" s="11"/>
      <c r="C94" s="8"/>
      <c r="D94" s="7"/>
      <c r="E94" s="7"/>
      <c r="F94" s="7"/>
    </row>
    <row r="95" spans="1:6" x14ac:dyDescent="0.3">
      <c r="A95" s="9"/>
      <c r="B95" s="11"/>
      <c r="C95" s="8"/>
      <c r="D95" s="7"/>
      <c r="E95" s="7"/>
      <c r="F95" s="7"/>
    </row>
    <row r="96" spans="1:6" x14ac:dyDescent="0.3">
      <c r="A96" s="9"/>
      <c r="B96" s="11"/>
      <c r="C96" s="8"/>
      <c r="D96" s="7"/>
      <c r="E96" s="7"/>
      <c r="F96" s="7"/>
    </row>
    <row r="97" spans="1:6" x14ac:dyDescent="0.3">
      <c r="A97" s="9"/>
      <c r="B97" s="11"/>
      <c r="C97" s="8"/>
      <c r="D97" s="7"/>
      <c r="E97" s="7"/>
      <c r="F97" s="7"/>
    </row>
    <row r="98" spans="1:6" x14ac:dyDescent="0.3">
      <c r="A98" s="9"/>
      <c r="B98" s="11"/>
      <c r="C98" s="8"/>
      <c r="D98" s="7"/>
      <c r="E98" s="7"/>
      <c r="F98" s="7"/>
    </row>
    <row r="99" spans="1:6" x14ac:dyDescent="0.3">
      <c r="A99" s="9"/>
      <c r="B99" s="11"/>
      <c r="C99" s="8"/>
      <c r="D99" s="7"/>
      <c r="E99" s="7"/>
      <c r="F99" s="7"/>
    </row>
    <row r="100" spans="1:6" x14ac:dyDescent="0.3">
      <c r="A100" s="9"/>
      <c r="B100" s="11"/>
      <c r="C100" s="8"/>
      <c r="D100" s="7"/>
      <c r="E100" s="7"/>
      <c r="F100" s="7"/>
    </row>
    <row r="101" spans="1:6" x14ac:dyDescent="0.3">
      <c r="D101" s="1"/>
      <c r="E101" s="1"/>
      <c r="F101" s="1"/>
    </row>
    <row r="102" spans="1:6" x14ac:dyDescent="0.3">
      <c r="D102" s="1"/>
      <c r="E102" s="1"/>
      <c r="F102" s="1"/>
    </row>
    <row r="103" spans="1:6" x14ac:dyDescent="0.3">
      <c r="D103" s="1"/>
      <c r="E103" s="1"/>
      <c r="F103" s="1"/>
    </row>
    <row r="104" spans="1:6" x14ac:dyDescent="0.3">
      <c r="D104" s="1"/>
      <c r="E104" s="1"/>
      <c r="F104" s="1"/>
    </row>
    <row r="105" spans="1:6" x14ac:dyDescent="0.3">
      <c r="D105" s="1"/>
      <c r="E105" s="1"/>
    </row>
    <row r="106" spans="1:6" x14ac:dyDescent="0.3">
      <c r="D106" s="1"/>
      <c r="E106" s="1"/>
    </row>
    <row r="107" spans="1:6" x14ac:dyDescent="0.3">
      <c r="D107" s="1"/>
      <c r="E107" s="1"/>
    </row>
    <row r="108" spans="1:6" x14ac:dyDescent="0.3">
      <c r="D108" s="1"/>
      <c r="E108" s="1"/>
    </row>
    <row r="109" spans="1:6" x14ac:dyDescent="0.3">
      <c r="D109" s="1"/>
      <c r="E109" s="1"/>
    </row>
    <row r="110" spans="1:6" x14ac:dyDescent="0.3">
      <c r="D110" s="1"/>
      <c r="E110" s="1"/>
    </row>
    <row r="111" spans="1:6" x14ac:dyDescent="0.3">
      <c r="D111" s="1"/>
      <c r="E111" s="1"/>
    </row>
    <row r="112" spans="1:6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</sheetData>
  <phoneticPr fontId="1" type="noConversion"/>
  <hyperlinks>
    <hyperlink ref="C2" r:id="rId1" xr:uid="{A1D08BE5-4E65-4AA9-AFD1-ACD360951DCC}"/>
    <hyperlink ref="C3" r:id="rId2" xr:uid="{04CA69CC-38F7-4C3E-AC57-A90EF6A92FAF}"/>
    <hyperlink ref="C6" r:id="rId3" xr:uid="{2E574624-B314-42AA-A2C2-5721A1C5D850}"/>
    <hyperlink ref="C7" r:id="rId4" xr:uid="{D743AB6C-CE09-4318-8BC2-D3D3746FA6EF}"/>
    <hyperlink ref="C8" r:id="rId5" xr:uid="{B7F5D01F-63DE-419E-B4F0-7823950BB73C}"/>
    <hyperlink ref="C9" r:id="rId6" xr:uid="{99BD006B-CF26-44D1-98FA-A5A05366FC40}"/>
    <hyperlink ref="C10" r:id="rId7" xr:uid="{FC30B13F-275F-4D87-A659-C8D5F1015830}"/>
    <hyperlink ref="C11" r:id="rId8" xr:uid="{CA04FD36-E63A-4982-983E-E8F3F29084A3}"/>
    <hyperlink ref="C13" r:id="rId9" xr:uid="{FCDE851A-F001-4856-8BC0-E7558158EA29}"/>
    <hyperlink ref="C14" r:id="rId10" xr:uid="{BD445FF0-BA2D-40DE-AE33-03A9C230CE0D}"/>
    <hyperlink ref="C15" r:id="rId11" xr:uid="{757D695C-C257-45E8-8191-FD6B08D8C113}"/>
    <hyperlink ref="C16" r:id="rId12" xr:uid="{957480E1-545C-4DC2-8792-F8B006C2E4FF}"/>
    <hyperlink ref="C17" r:id="rId13" xr:uid="{D76EDB0E-FA1D-4E12-A04A-0C662BAB72B0}"/>
    <hyperlink ref="C18" r:id="rId14" xr:uid="{B06DEF92-9E45-40BE-9930-A3ECDA184E0F}"/>
    <hyperlink ref="C19" r:id="rId15" xr:uid="{1AACCBA8-9859-422C-8046-7CB9FAF6F794}"/>
    <hyperlink ref="C20" r:id="rId16" xr:uid="{65A923B3-13FA-4B2E-85A6-19B8D496BAA4}"/>
    <hyperlink ref="C21" r:id="rId17" xr:uid="{C2657064-3882-4B55-B47F-3BD93B06D976}"/>
    <hyperlink ref="C22" r:id="rId18" xr:uid="{13E8EF5D-47EF-494D-9CC7-9DE37F9B6F71}"/>
    <hyperlink ref="C23" r:id="rId19" xr:uid="{0AB410AC-A053-4DEA-A6D8-3421F522DE02}"/>
    <hyperlink ref="C24" r:id="rId20" xr:uid="{AC5A29E6-DB00-44E2-99CB-DE897B5DFA1D}"/>
    <hyperlink ref="C25" r:id="rId21" xr:uid="{0C00DB64-5C2E-4B5E-8C27-8D590D2187D9}"/>
    <hyperlink ref="C26" r:id="rId22" xr:uid="{09225514-D708-401D-BA8E-27FBDCDE5E1D}"/>
    <hyperlink ref="C27" r:id="rId23" xr:uid="{84B4637B-D77D-4933-8323-0FE8AFBEEB4C}"/>
    <hyperlink ref="C28" r:id="rId24" xr:uid="{83854403-B909-4426-A362-561CA4B49189}"/>
    <hyperlink ref="C29" r:id="rId25" xr:uid="{5C0DCC3B-AC98-4223-A8AD-8D46E53D85DA}"/>
    <hyperlink ref="C33" r:id="rId26" xr:uid="{084D1B23-5C4D-43BE-A87E-7778BCC10278}"/>
    <hyperlink ref="C32" r:id="rId27" xr:uid="{17179E7C-921D-49A5-BBFE-8AE1BE599E90}"/>
    <hyperlink ref="C31" r:id="rId28" xr:uid="{2B3DBC9E-4272-453B-991D-08A171C4F58A}"/>
    <hyperlink ref="C30" r:id="rId29" xr:uid="{2C1CD78C-2B1B-400D-916B-78351B30CB20}"/>
    <hyperlink ref="C34" r:id="rId30" xr:uid="{D773383B-A810-432B-AC05-E2A95FA8876E}"/>
    <hyperlink ref="C35" r:id="rId31" xr:uid="{EBDBF327-FEB8-4DBC-A60E-55113F375230}"/>
    <hyperlink ref="C36" r:id="rId32" xr:uid="{49E347F1-231A-46D7-A0B4-5AD309FDC27C}"/>
    <hyperlink ref="C37" r:id="rId33" xr:uid="{908EC1B3-F507-44EC-B78D-F885E4D3FAE5}"/>
    <hyperlink ref="C38" r:id="rId34" xr:uid="{52E59EBB-3FFD-4E5A-88F8-FBDC6FD02204}"/>
    <hyperlink ref="C39" r:id="rId35" xr:uid="{A8CCC3B4-142C-4BE3-99B1-AE7A0892BE9D}"/>
    <hyperlink ref="C40" r:id="rId36" xr:uid="{50E1F188-0F30-4E49-BAC7-575CDD93DFBC}"/>
    <hyperlink ref="C41" r:id="rId37" xr:uid="{0028B759-9CB1-4A3A-89A5-2C376867D622}"/>
    <hyperlink ref="C42" r:id="rId38" xr:uid="{B44C67C6-7B11-48DF-88D7-F7401E52D84C}"/>
    <hyperlink ref="C43" r:id="rId39" xr:uid="{75C4F60E-2676-487E-BEAC-B8AE973BB5BB}"/>
    <hyperlink ref="C44" r:id="rId40" xr:uid="{A5B32643-0991-4702-BFE0-D2C5D2BDAB7B}"/>
    <hyperlink ref="C45" r:id="rId41" xr:uid="{5F64D9E0-9291-4890-8A2D-9ED05D72618D}"/>
    <hyperlink ref="C46" r:id="rId42" xr:uid="{D65D4BF2-FF58-4934-B331-26DFF088CE68}"/>
    <hyperlink ref="C47" r:id="rId43" xr:uid="{B110DB0C-0DC0-40F9-9383-C4E8E95B75B0}"/>
    <hyperlink ref="C48" r:id="rId44" xr:uid="{9D52AB56-5C5D-4455-80A7-B761EB80EA7F}"/>
    <hyperlink ref="C49" r:id="rId45" xr:uid="{1A399D62-BDBD-4D41-9672-E542E1473B49}"/>
    <hyperlink ref="C50" r:id="rId46" xr:uid="{228003C2-26C2-4B21-98C4-473A66D1C413}"/>
    <hyperlink ref="C51" r:id="rId47" xr:uid="{C0A38E65-293B-4C1C-81DC-E3325AFC83DA}"/>
    <hyperlink ref="C52" r:id="rId48" xr:uid="{2AB1EE46-4668-499C-858B-71777E8FF73B}"/>
    <hyperlink ref="C53" r:id="rId49" xr:uid="{8B219602-5CA9-428B-A650-F29D02E8EFE2}"/>
    <hyperlink ref="C54" r:id="rId50" xr:uid="{6D7DC6CF-7FC9-4C42-87DB-31DBA07576EF}"/>
    <hyperlink ref="C55" r:id="rId51" xr:uid="{D8F29797-C64D-4ED6-B4DC-325CC4698196}"/>
    <hyperlink ref="C56" r:id="rId52" xr:uid="{F27585CA-FED3-4B58-8F79-9435B7B662B9}"/>
    <hyperlink ref="C57" r:id="rId53" xr:uid="{2D86FC0E-62DF-49FF-91FC-5B3F4663EEF1}"/>
    <hyperlink ref="C58" r:id="rId54" xr:uid="{37563CEA-2E0B-4004-8B47-FA8BC470FE3F}"/>
    <hyperlink ref="C59" r:id="rId55" xr:uid="{E8B85727-B875-4401-9628-20BA84CC26BE}"/>
    <hyperlink ref="C60" r:id="rId56" xr:uid="{CCCE68F6-F5BF-4F07-860A-52FBF1346FA7}"/>
    <hyperlink ref="C61" r:id="rId57" xr:uid="{EBB6489F-972F-4F0D-9EA1-54D9199062E4}"/>
    <hyperlink ref="C62" r:id="rId58" xr:uid="{97B49D24-4E31-493A-A01A-03CA448FF57E}"/>
    <hyperlink ref="C63" r:id="rId59" xr:uid="{385F276B-8829-4BA5-AB60-EC3918744C6B}"/>
    <hyperlink ref="C64" r:id="rId60" xr:uid="{805DB703-30C7-4448-AB11-5E226F6CE8A2}"/>
    <hyperlink ref="C65" r:id="rId61" xr:uid="{1A69A6A0-921F-4A5E-B962-C51EA9C029CF}"/>
    <hyperlink ref="C66" r:id="rId62" xr:uid="{36DF1830-F04B-446B-BEC5-0CBE15C76383}"/>
    <hyperlink ref="C67" r:id="rId63" xr:uid="{8CC30258-4647-4A81-BF94-EC8E5B54511C}"/>
    <hyperlink ref="C68" r:id="rId64" xr:uid="{7F9B0256-3DC7-40B3-971F-C4CB56E67F4F}"/>
    <hyperlink ref="C69" r:id="rId65" xr:uid="{BB1C3873-90F6-4017-B2DE-B57F5096403E}"/>
    <hyperlink ref="C70" r:id="rId66" xr:uid="{F6AA59A5-4CA4-4DF2-82AE-C1DE0ECE261C}"/>
    <hyperlink ref="C71" r:id="rId67" xr:uid="{9A927355-ECCE-48AC-A1F7-750B30340DC4}"/>
    <hyperlink ref="C75" r:id="rId68" xr:uid="{A2D94035-A755-4D2C-8A35-7397C5DC7706}"/>
    <hyperlink ref="C76" r:id="rId69" xr:uid="{74EE54D7-B904-46E1-8515-FE09570923CA}"/>
    <hyperlink ref="C77" r:id="rId70" xr:uid="{2B56B5F2-E3CA-4054-B95B-B9E776A11067}"/>
    <hyperlink ref="C78" r:id="rId71" xr:uid="{4FD8BA86-8AAA-4CE1-B80D-A948A0D70A63}"/>
    <hyperlink ref="C79" r:id="rId72" xr:uid="{B38154AE-2EEF-4465-88B7-02FEE02AB725}"/>
    <hyperlink ref="C80" r:id="rId73" xr:uid="{9649B771-7E8E-48D6-AB58-AE566CB9DEDF}"/>
    <hyperlink ref="C82" r:id="rId74" xr:uid="{66DD1F13-B6B6-4F69-8744-09F32F9EC9C4}"/>
    <hyperlink ref="C83" r:id="rId75" xr:uid="{D878E2F1-2079-4A86-AFC3-7B6FC4313C83}"/>
    <hyperlink ref="C84" r:id="rId76" xr:uid="{852BF38E-15AD-40F3-919A-F2E88E3BACFC}"/>
    <hyperlink ref="C85" r:id="rId77" xr:uid="{9BD5B2B8-28F0-4326-BDCE-FD9F57054C89}"/>
    <hyperlink ref="C86" r:id="rId78" xr:uid="{CA8CAF8C-17D2-477D-B63F-BBE6A4C63739}"/>
    <hyperlink ref="C87" r:id="rId79" xr:uid="{FD97895A-4342-4F42-98A5-DDFAABB5D852}"/>
    <hyperlink ref="C88" r:id="rId80" xr:uid="{925C64BE-3E78-476B-8651-0F53B2DEE80A}"/>
    <hyperlink ref="C5" r:id="rId81" xr:uid="{C34AA754-9842-4985-8953-F5DD4F43F2B0}"/>
    <hyperlink ref="C81" r:id="rId82" xr:uid="{63602E85-594A-4D05-9A43-54263B69C0DD}"/>
    <hyperlink ref="C12" r:id="rId83" xr:uid="{FB4E085A-ED9F-427C-9643-549EF745AAA0}"/>
    <hyperlink ref="C74" r:id="rId84" xr:uid="{14B085CF-AED5-4D33-9D8F-0DF64C7A2F90}"/>
    <hyperlink ref="C73" r:id="rId85" xr:uid="{8D4773C2-9D44-4E05-B46B-64F4A160A020}"/>
    <hyperlink ref="C72" r:id="rId86" xr:uid="{6DD51A97-33A7-4EFC-92EC-C6AE50761C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CE48-0DCA-4FC0-8D55-B257344F6783}">
  <dimension ref="A1:J2636"/>
  <sheetViews>
    <sheetView workbookViewId="0">
      <pane ySplit="1" topLeftCell="A2" activePane="bottomLeft" state="frozen"/>
      <selection pane="bottomLeft" activeCell="B398" sqref="B398"/>
    </sheetView>
  </sheetViews>
  <sheetFormatPr defaultColWidth="9.109375" defaultRowHeight="14.4" x14ac:dyDescent="0.3"/>
  <cols>
    <col min="1" max="1" width="11.109375" style="18" customWidth="1"/>
    <col min="2" max="2" width="13.5546875" style="18" customWidth="1"/>
    <col min="3" max="3" width="14.109375" style="18" bestFit="1" customWidth="1"/>
    <col min="4" max="4" width="9.109375" style="18" customWidth="1"/>
    <col min="5" max="5" width="16.5546875" style="17" customWidth="1"/>
    <col min="6" max="6" width="10.6640625" style="17" customWidth="1"/>
    <col min="7" max="7" width="14.33203125" style="17" customWidth="1"/>
    <col min="8" max="8" width="6.88671875" style="17" bestFit="1" customWidth="1"/>
    <col min="9" max="9" width="11.88671875" style="17" bestFit="1" customWidth="1"/>
    <col min="10" max="16384" width="9.109375" style="17"/>
  </cols>
  <sheetData>
    <row r="1" spans="1:10" x14ac:dyDescent="0.3">
      <c r="A1" s="17" t="s">
        <v>0</v>
      </c>
      <c r="B1" s="17" t="s">
        <v>97</v>
      </c>
      <c r="C1" s="17" t="s">
        <v>98</v>
      </c>
      <c r="D1" s="17" t="s">
        <v>99</v>
      </c>
      <c r="E1" s="17" t="s">
        <v>100</v>
      </c>
      <c r="F1" s="17" t="s">
        <v>7</v>
      </c>
      <c r="G1" s="17" t="s">
        <v>101</v>
      </c>
      <c r="H1" s="17" t="s">
        <v>102</v>
      </c>
      <c r="I1" s="17" t="s">
        <v>103</v>
      </c>
      <c r="J1" s="17" t="s">
        <v>104</v>
      </c>
    </row>
    <row r="2" spans="1:10" x14ac:dyDescent="0.3">
      <c r="A2" s="18">
        <v>1</v>
      </c>
      <c r="B2" s="40">
        <v>44967</v>
      </c>
      <c r="C2" s="18" t="s">
        <v>105</v>
      </c>
      <c r="D2" s="18">
        <v>1</v>
      </c>
      <c r="E2" s="17">
        <v>111</v>
      </c>
      <c r="F2" s="17">
        <v>10125</v>
      </c>
      <c r="G2" s="17">
        <v>8241</v>
      </c>
      <c r="H2" s="23">
        <f t="shared" ref="H2:H65" si="0">F2/G2</f>
        <v>1.2286130323989808</v>
      </c>
    </row>
    <row r="3" spans="1:10" x14ac:dyDescent="0.3">
      <c r="A3" s="18">
        <v>1</v>
      </c>
      <c r="B3" s="40">
        <v>44967</v>
      </c>
      <c r="C3" s="18" t="s">
        <v>106</v>
      </c>
      <c r="D3" s="18">
        <v>2</v>
      </c>
      <c r="E3" s="17">
        <v>111</v>
      </c>
      <c r="F3" s="17">
        <v>9605</v>
      </c>
      <c r="G3" s="17">
        <v>7375</v>
      </c>
      <c r="H3" s="23">
        <f t="shared" si="0"/>
        <v>1.3023728813559321</v>
      </c>
    </row>
    <row r="4" spans="1:10" x14ac:dyDescent="0.3">
      <c r="A4" s="18">
        <v>1</v>
      </c>
      <c r="B4" s="40">
        <v>44967</v>
      </c>
      <c r="C4" s="18" t="s">
        <v>107</v>
      </c>
      <c r="D4" s="18">
        <v>3</v>
      </c>
      <c r="E4" s="17">
        <v>111</v>
      </c>
      <c r="F4" s="17">
        <v>9416</v>
      </c>
      <c r="G4" s="17">
        <v>10636</v>
      </c>
      <c r="H4" s="23">
        <f t="shared" si="0"/>
        <v>0.88529522376833392</v>
      </c>
    </row>
    <row r="5" spans="1:10" x14ac:dyDescent="0.3">
      <c r="A5" s="18">
        <v>1</v>
      </c>
      <c r="B5" s="40">
        <v>44967</v>
      </c>
      <c r="C5" s="18" t="s">
        <v>108</v>
      </c>
      <c r="D5" s="18">
        <v>4</v>
      </c>
      <c r="E5" s="17">
        <v>107</v>
      </c>
      <c r="F5" s="17">
        <v>2046</v>
      </c>
      <c r="G5" s="17">
        <v>1743</v>
      </c>
      <c r="H5" s="23">
        <f t="shared" si="0"/>
        <v>1.1738382099827882</v>
      </c>
    </row>
    <row r="6" spans="1:10" x14ac:dyDescent="0.3">
      <c r="A6" s="18">
        <v>1</v>
      </c>
      <c r="B6" s="40">
        <v>44967</v>
      </c>
      <c r="C6" s="18" t="s">
        <v>109</v>
      </c>
      <c r="D6" s="18">
        <v>5</v>
      </c>
      <c r="E6" s="17">
        <v>79</v>
      </c>
      <c r="F6" s="17">
        <v>915</v>
      </c>
      <c r="G6" s="17">
        <v>953</v>
      </c>
      <c r="H6" s="23">
        <f t="shared" si="0"/>
        <v>0.96012591815320047</v>
      </c>
    </row>
    <row r="7" spans="1:10" x14ac:dyDescent="0.3">
      <c r="A7" s="18">
        <v>1</v>
      </c>
      <c r="B7" s="40">
        <v>44967</v>
      </c>
      <c r="C7" s="18" t="s">
        <v>110</v>
      </c>
      <c r="D7" s="18">
        <v>6</v>
      </c>
      <c r="E7" s="17">
        <v>72</v>
      </c>
      <c r="F7" s="17">
        <v>2141</v>
      </c>
      <c r="G7" s="17">
        <v>2390</v>
      </c>
      <c r="H7" s="23">
        <f t="shared" si="0"/>
        <v>0.89581589958158991</v>
      </c>
    </row>
    <row r="8" spans="1:10" x14ac:dyDescent="0.3">
      <c r="A8" s="18">
        <v>1</v>
      </c>
      <c r="B8" s="40">
        <v>44967</v>
      </c>
      <c r="C8" s="18" t="s">
        <v>111</v>
      </c>
      <c r="D8" s="18">
        <v>7</v>
      </c>
      <c r="E8" s="17">
        <v>68</v>
      </c>
      <c r="F8" s="17">
        <v>547</v>
      </c>
      <c r="G8" s="17">
        <v>685</v>
      </c>
      <c r="H8" s="23">
        <f t="shared" si="0"/>
        <v>0.79854014598540146</v>
      </c>
    </row>
    <row r="9" spans="1:10" x14ac:dyDescent="0.3">
      <c r="A9" s="18">
        <v>1</v>
      </c>
      <c r="B9" s="40">
        <v>44967</v>
      </c>
      <c r="C9" s="18" t="s">
        <v>112</v>
      </c>
      <c r="D9" s="18">
        <v>8</v>
      </c>
      <c r="E9" s="17">
        <v>62</v>
      </c>
      <c r="F9" s="17">
        <v>1295</v>
      </c>
      <c r="G9" s="17">
        <v>1285</v>
      </c>
      <c r="H9" s="23">
        <f t="shared" si="0"/>
        <v>1.0077821011673151</v>
      </c>
    </row>
    <row r="10" spans="1:10" x14ac:dyDescent="0.3">
      <c r="A10" s="18">
        <v>1</v>
      </c>
      <c r="B10" s="40">
        <v>44967</v>
      </c>
      <c r="C10" s="18" t="s">
        <v>113</v>
      </c>
      <c r="D10" s="18">
        <v>9</v>
      </c>
      <c r="E10" s="17">
        <v>38</v>
      </c>
      <c r="F10" s="17">
        <v>299</v>
      </c>
      <c r="G10" s="17">
        <v>438</v>
      </c>
      <c r="H10" s="23">
        <f t="shared" si="0"/>
        <v>0.68264840182648401</v>
      </c>
    </row>
    <row r="11" spans="1:10" x14ac:dyDescent="0.3">
      <c r="A11" s="18">
        <v>1</v>
      </c>
      <c r="B11" s="40">
        <v>44967</v>
      </c>
      <c r="C11" s="18" t="s">
        <v>114</v>
      </c>
      <c r="D11" s="18">
        <v>10</v>
      </c>
      <c r="E11" s="17">
        <v>23</v>
      </c>
      <c r="F11" s="17">
        <v>96</v>
      </c>
      <c r="G11" s="17">
        <v>140</v>
      </c>
      <c r="H11" s="23">
        <f t="shared" si="0"/>
        <v>0.68571428571428572</v>
      </c>
    </row>
    <row r="12" spans="1:10" x14ac:dyDescent="0.3">
      <c r="A12" s="18">
        <v>1</v>
      </c>
      <c r="B12" s="40">
        <v>44967</v>
      </c>
      <c r="C12" s="18" t="s">
        <v>115</v>
      </c>
      <c r="D12" s="18">
        <v>11</v>
      </c>
      <c r="E12" s="17">
        <v>19</v>
      </c>
      <c r="F12" s="17">
        <v>118</v>
      </c>
      <c r="G12" s="17">
        <v>235</v>
      </c>
      <c r="H12" s="23">
        <f t="shared" si="0"/>
        <v>0.50212765957446803</v>
      </c>
    </row>
    <row r="13" spans="1:10" x14ac:dyDescent="0.3">
      <c r="A13" s="18">
        <v>1</v>
      </c>
      <c r="B13" s="40">
        <v>44967</v>
      </c>
      <c r="C13" s="18" t="s">
        <v>116</v>
      </c>
      <c r="D13" s="18">
        <v>12</v>
      </c>
      <c r="E13" s="17">
        <v>14</v>
      </c>
      <c r="F13" s="17">
        <v>31</v>
      </c>
      <c r="G13" s="17">
        <v>139</v>
      </c>
      <c r="H13" s="23">
        <f t="shared" si="0"/>
        <v>0.22302158273381295</v>
      </c>
    </row>
    <row r="14" spans="1:10" x14ac:dyDescent="0.3">
      <c r="A14" s="18">
        <v>1</v>
      </c>
      <c r="B14" s="40">
        <v>44967</v>
      </c>
      <c r="C14" s="18" t="s">
        <v>117</v>
      </c>
      <c r="D14" s="18">
        <v>13</v>
      </c>
      <c r="E14" s="17">
        <v>13</v>
      </c>
      <c r="F14" s="17">
        <v>162</v>
      </c>
      <c r="G14" s="17">
        <v>174</v>
      </c>
      <c r="H14" s="23">
        <f t="shared" si="0"/>
        <v>0.93103448275862066</v>
      </c>
    </row>
    <row r="15" spans="1:10" x14ac:dyDescent="0.3">
      <c r="A15" s="18">
        <v>1</v>
      </c>
      <c r="B15" s="40">
        <v>44967</v>
      </c>
      <c r="C15" s="18" t="s">
        <v>118</v>
      </c>
      <c r="D15" s="18">
        <v>14</v>
      </c>
      <c r="E15" s="17">
        <v>10</v>
      </c>
      <c r="F15" s="17">
        <v>56</v>
      </c>
      <c r="G15" s="17">
        <v>59</v>
      </c>
      <c r="H15" s="23">
        <f t="shared" si="0"/>
        <v>0.94915254237288138</v>
      </c>
    </row>
    <row r="16" spans="1:10" x14ac:dyDescent="0.3">
      <c r="A16" s="18">
        <v>1</v>
      </c>
      <c r="B16" s="40">
        <v>44967</v>
      </c>
      <c r="C16" s="18" t="s">
        <v>119</v>
      </c>
      <c r="D16" s="18">
        <v>15</v>
      </c>
      <c r="E16" s="17">
        <v>10</v>
      </c>
      <c r="F16" s="17">
        <v>13</v>
      </c>
      <c r="G16" s="17">
        <v>29</v>
      </c>
      <c r="H16" s="23">
        <f t="shared" si="0"/>
        <v>0.44827586206896552</v>
      </c>
    </row>
    <row r="17" spans="1:8" x14ac:dyDescent="0.3">
      <c r="A17" s="18">
        <v>1</v>
      </c>
      <c r="B17" s="40">
        <v>44967</v>
      </c>
      <c r="C17" s="18" t="s">
        <v>120</v>
      </c>
      <c r="D17" s="18">
        <v>16</v>
      </c>
      <c r="E17" s="17">
        <v>9</v>
      </c>
      <c r="F17" s="17">
        <v>79</v>
      </c>
      <c r="G17" s="17">
        <v>115</v>
      </c>
      <c r="H17" s="23">
        <f t="shared" si="0"/>
        <v>0.68695652173913047</v>
      </c>
    </row>
    <row r="18" spans="1:8" x14ac:dyDescent="0.3">
      <c r="A18" s="18">
        <v>1</v>
      </c>
      <c r="B18" s="40">
        <v>44967</v>
      </c>
      <c r="C18" s="18" t="s">
        <v>121</v>
      </c>
      <c r="D18" s="18">
        <v>17</v>
      </c>
      <c r="E18" s="17">
        <v>9</v>
      </c>
      <c r="F18" s="17">
        <v>73</v>
      </c>
      <c r="G18" s="17">
        <v>110</v>
      </c>
      <c r="H18" s="23">
        <f t="shared" si="0"/>
        <v>0.66363636363636369</v>
      </c>
    </row>
    <row r="19" spans="1:8" x14ac:dyDescent="0.3">
      <c r="A19" s="18">
        <v>1</v>
      </c>
      <c r="B19" s="40">
        <v>44967</v>
      </c>
      <c r="C19" s="18" t="s">
        <v>122</v>
      </c>
      <c r="D19" s="18">
        <v>18</v>
      </c>
      <c r="E19" s="17">
        <v>9</v>
      </c>
      <c r="F19" s="17">
        <v>43</v>
      </c>
      <c r="G19" s="17">
        <v>71</v>
      </c>
      <c r="H19" s="23">
        <f t="shared" si="0"/>
        <v>0.60563380281690138</v>
      </c>
    </row>
    <row r="20" spans="1:8" x14ac:dyDescent="0.3">
      <c r="A20" s="18">
        <v>1</v>
      </c>
      <c r="B20" s="40">
        <v>44967</v>
      </c>
      <c r="C20" s="18" t="s">
        <v>123</v>
      </c>
      <c r="D20" s="18">
        <v>19</v>
      </c>
      <c r="E20" s="17">
        <v>7</v>
      </c>
      <c r="F20" s="17">
        <v>43</v>
      </c>
      <c r="G20" s="17">
        <v>76</v>
      </c>
      <c r="H20" s="23">
        <f t="shared" si="0"/>
        <v>0.56578947368421051</v>
      </c>
    </row>
    <row r="21" spans="1:8" x14ac:dyDescent="0.3">
      <c r="A21" s="18">
        <v>1</v>
      </c>
      <c r="B21" s="40">
        <v>44967</v>
      </c>
      <c r="C21" s="18" t="s">
        <v>124</v>
      </c>
      <c r="D21" s="18">
        <v>20</v>
      </c>
      <c r="E21" s="17">
        <v>5</v>
      </c>
      <c r="F21" s="17">
        <v>23</v>
      </c>
      <c r="G21" s="17">
        <v>47</v>
      </c>
      <c r="H21" s="23">
        <f t="shared" si="0"/>
        <v>0.48936170212765956</v>
      </c>
    </row>
    <row r="22" spans="1:8" x14ac:dyDescent="0.3">
      <c r="A22" s="18">
        <v>1</v>
      </c>
      <c r="B22" s="40">
        <v>44967</v>
      </c>
      <c r="C22" s="18" t="s">
        <v>125</v>
      </c>
      <c r="D22" s="18">
        <v>21</v>
      </c>
      <c r="E22" s="17">
        <v>5</v>
      </c>
      <c r="F22" s="17">
        <v>28</v>
      </c>
      <c r="G22" s="17">
        <v>60</v>
      </c>
      <c r="H22" s="23">
        <f t="shared" si="0"/>
        <v>0.46666666666666667</v>
      </c>
    </row>
    <row r="23" spans="1:8" x14ac:dyDescent="0.3">
      <c r="A23" s="18">
        <v>1</v>
      </c>
      <c r="B23" s="40">
        <v>44967</v>
      </c>
      <c r="C23" s="18" t="s">
        <v>126</v>
      </c>
      <c r="D23" s="18">
        <v>22</v>
      </c>
      <c r="E23" s="17">
        <v>4</v>
      </c>
      <c r="F23" s="17">
        <v>11</v>
      </c>
      <c r="G23" s="17">
        <v>27</v>
      </c>
      <c r="H23" s="23">
        <f t="shared" si="0"/>
        <v>0.40740740740740738</v>
      </c>
    </row>
    <row r="24" spans="1:8" x14ac:dyDescent="0.3">
      <c r="A24" s="18">
        <v>2</v>
      </c>
      <c r="B24" s="40">
        <v>44974</v>
      </c>
      <c r="C24" s="18" t="s">
        <v>105</v>
      </c>
      <c r="D24" s="18">
        <v>1</v>
      </c>
      <c r="E24" s="17">
        <v>111</v>
      </c>
      <c r="F24" s="17">
        <v>11510</v>
      </c>
      <c r="G24" s="17">
        <v>8983</v>
      </c>
      <c r="H24" s="23">
        <f t="shared" si="0"/>
        <v>1.2813091394856952</v>
      </c>
    </row>
    <row r="25" spans="1:8" x14ac:dyDescent="0.3">
      <c r="A25" s="18">
        <v>2</v>
      </c>
      <c r="B25" s="40">
        <v>44974</v>
      </c>
      <c r="C25" s="18" t="s">
        <v>113</v>
      </c>
      <c r="D25" s="18">
        <v>2</v>
      </c>
      <c r="E25" s="17">
        <v>111</v>
      </c>
      <c r="F25" s="17">
        <v>4632</v>
      </c>
      <c r="G25" s="17">
        <v>3195</v>
      </c>
      <c r="H25" s="23">
        <f t="shared" si="0"/>
        <v>1.4497652582159624</v>
      </c>
    </row>
    <row r="26" spans="1:8" x14ac:dyDescent="0.3">
      <c r="A26" s="18">
        <v>2</v>
      </c>
      <c r="B26" s="40">
        <v>44974</v>
      </c>
      <c r="C26" s="18" t="s">
        <v>127</v>
      </c>
      <c r="D26" s="18">
        <v>3</v>
      </c>
      <c r="E26" s="17">
        <v>111</v>
      </c>
      <c r="F26" s="17">
        <v>2189</v>
      </c>
      <c r="G26" s="17">
        <v>2359</v>
      </c>
      <c r="H26" s="23">
        <f t="shared" si="0"/>
        <v>0.92793556591776172</v>
      </c>
    </row>
    <row r="27" spans="1:8" x14ac:dyDescent="0.3">
      <c r="A27" s="18">
        <v>2</v>
      </c>
      <c r="B27" s="40">
        <v>44974</v>
      </c>
      <c r="C27" s="18" t="s">
        <v>109</v>
      </c>
      <c r="D27" s="18">
        <v>4</v>
      </c>
      <c r="E27" s="17">
        <v>111</v>
      </c>
      <c r="F27" s="17">
        <v>1695</v>
      </c>
      <c r="G27" s="17">
        <v>1566</v>
      </c>
      <c r="H27" s="23">
        <f t="shared" si="0"/>
        <v>1.0823754789272031</v>
      </c>
    </row>
    <row r="28" spans="1:8" x14ac:dyDescent="0.3">
      <c r="A28" s="18">
        <v>2</v>
      </c>
      <c r="B28" s="40">
        <v>44974</v>
      </c>
      <c r="C28" s="18" t="s">
        <v>114</v>
      </c>
      <c r="D28" s="18">
        <v>5</v>
      </c>
      <c r="E28" s="17">
        <v>111</v>
      </c>
      <c r="F28" s="17">
        <v>3673</v>
      </c>
      <c r="G28" s="17">
        <v>3328</v>
      </c>
      <c r="H28" s="23">
        <f t="shared" si="0"/>
        <v>1.1036658653846154</v>
      </c>
    </row>
    <row r="29" spans="1:8" x14ac:dyDescent="0.3">
      <c r="A29" s="18">
        <v>2</v>
      </c>
      <c r="B29" s="40">
        <v>44974</v>
      </c>
      <c r="C29" s="18" t="s">
        <v>122</v>
      </c>
      <c r="D29" s="18">
        <v>6</v>
      </c>
      <c r="E29" s="17">
        <v>100</v>
      </c>
      <c r="F29" s="17">
        <v>1261</v>
      </c>
      <c r="G29" s="17">
        <v>1422</v>
      </c>
      <c r="H29" s="23">
        <f t="shared" si="0"/>
        <v>0.88677918424753865</v>
      </c>
    </row>
    <row r="30" spans="1:8" x14ac:dyDescent="0.3">
      <c r="A30" s="18">
        <v>2</v>
      </c>
      <c r="B30" s="40">
        <v>44974</v>
      </c>
      <c r="C30" s="18" t="s">
        <v>128</v>
      </c>
      <c r="D30" s="18">
        <v>7</v>
      </c>
      <c r="E30" s="17">
        <v>95</v>
      </c>
      <c r="F30" s="17">
        <v>4782</v>
      </c>
      <c r="G30" s="17">
        <v>4098</v>
      </c>
      <c r="H30" s="23">
        <f t="shared" si="0"/>
        <v>1.1669106881405564</v>
      </c>
    </row>
    <row r="31" spans="1:8" x14ac:dyDescent="0.3">
      <c r="A31" s="18">
        <v>2</v>
      </c>
      <c r="B31" s="40">
        <v>44974</v>
      </c>
      <c r="C31" s="18" t="s">
        <v>108</v>
      </c>
      <c r="D31" s="18">
        <v>8</v>
      </c>
      <c r="E31" s="17">
        <v>85</v>
      </c>
      <c r="F31" s="17">
        <v>1213</v>
      </c>
      <c r="G31" s="17">
        <v>1014</v>
      </c>
      <c r="H31" s="23">
        <f t="shared" si="0"/>
        <v>1.1962524654832347</v>
      </c>
    </row>
    <row r="32" spans="1:8" x14ac:dyDescent="0.3">
      <c r="A32" s="18">
        <v>2</v>
      </c>
      <c r="B32" s="40">
        <v>44974</v>
      </c>
      <c r="C32" s="18" t="s">
        <v>129</v>
      </c>
      <c r="D32" s="18">
        <v>9</v>
      </c>
      <c r="E32" s="17">
        <v>76</v>
      </c>
      <c r="F32" s="17">
        <v>1099</v>
      </c>
      <c r="G32" s="17">
        <v>1635</v>
      </c>
      <c r="H32" s="23">
        <f t="shared" si="0"/>
        <v>0.67217125382262999</v>
      </c>
    </row>
    <row r="33" spans="1:8" x14ac:dyDescent="0.3">
      <c r="A33" s="18">
        <v>2</v>
      </c>
      <c r="B33" s="40">
        <v>44974</v>
      </c>
      <c r="C33" s="18" t="s">
        <v>130</v>
      </c>
      <c r="D33" s="18">
        <v>10</v>
      </c>
      <c r="E33" s="17">
        <v>69</v>
      </c>
      <c r="F33" s="17">
        <v>1916</v>
      </c>
      <c r="G33" s="17">
        <v>3222</v>
      </c>
      <c r="H33" s="23">
        <f t="shared" si="0"/>
        <v>0.59466170080695224</v>
      </c>
    </row>
    <row r="34" spans="1:8" x14ac:dyDescent="0.3">
      <c r="A34" s="18">
        <v>2</v>
      </c>
      <c r="B34" s="40">
        <v>44974</v>
      </c>
      <c r="C34" s="18" t="s">
        <v>131</v>
      </c>
      <c r="D34" s="18">
        <v>11</v>
      </c>
      <c r="E34" s="17">
        <v>69</v>
      </c>
      <c r="F34" s="17">
        <v>508</v>
      </c>
      <c r="G34" s="17">
        <v>701</v>
      </c>
      <c r="H34" s="23">
        <f t="shared" si="0"/>
        <v>0.72467902995720401</v>
      </c>
    </row>
    <row r="35" spans="1:8" x14ac:dyDescent="0.3">
      <c r="A35" s="18">
        <v>2</v>
      </c>
      <c r="B35" s="40">
        <v>44974</v>
      </c>
      <c r="C35" s="18" t="s">
        <v>132</v>
      </c>
      <c r="D35" s="18">
        <v>12</v>
      </c>
      <c r="E35" s="17">
        <v>53</v>
      </c>
      <c r="F35" s="17">
        <v>528</v>
      </c>
      <c r="G35" s="17">
        <v>582</v>
      </c>
      <c r="H35" s="23">
        <f t="shared" si="0"/>
        <v>0.90721649484536082</v>
      </c>
    </row>
    <row r="36" spans="1:8" x14ac:dyDescent="0.3">
      <c r="A36" s="18">
        <v>2</v>
      </c>
      <c r="B36" s="40">
        <v>44974</v>
      </c>
      <c r="C36" s="18" t="s">
        <v>111</v>
      </c>
      <c r="D36" s="18">
        <v>13</v>
      </c>
      <c r="E36" s="17">
        <v>48</v>
      </c>
      <c r="F36" s="17">
        <v>250</v>
      </c>
      <c r="G36" s="17">
        <v>390</v>
      </c>
      <c r="H36" s="23">
        <f t="shared" si="0"/>
        <v>0.64102564102564108</v>
      </c>
    </row>
    <row r="37" spans="1:8" x14ac:dyDescent="0.3">
      <c r="A37" s="18">
        <v>2</v>
      </c>
      <c r="B37" s="40">
        <v>44974</v>
      </c>
      <c r="C37" s="18" t="s">
        <v>119</v>
      </c>
      <c r="D37" s="18">
        <v>14</v>
      </c>
      <c r="E37" s="17">
        <v>41</v>
      </c>
      <c r="F37" s="17">
        <v>294</v>
      </c>
      <c r="G37" s="17">
        <v>687</v>
      </c>
      <c r="H37" s="23">
        <f t="shared" si="0"/>
        <v>0.42794759825327511</v>
      </c>
    </row>
    <row r="38" spans="1:8" x14ac:dyDescent="0.3">
      <c r="A38" s="18">
        <v>2</v>
      </c>
      <c r="B38" s="40">
        <v>44974</v>
      </c>
      <c r="C38" s="18" t="s">
        <v>133</v>
      </c>
      <c r="D38" s="18">
        <v>15</v>
      </c>
      <c r="E38" s="17">
        <v>18</v>
      </c>
      <c r="F38" s="17">
        <v>148</v>
      </c>
      <c r="G38" s="17">
        <v>189</v>
      </c>
      <c r="H38" s="23">
        <f t="shared" si="0"/>
        <v>0.78306878306878303</v>
      </c>
    </row>
    <row r="39" spans="1:8" x14ac:dyDescent="0.3">
      <c r="A39" s="18">
        <v>2</v>
      </c>
      <c r="B39" s="40">
        <v>44974</v>
      </c>
      <c r="C39" s="18" t="s">
        <v>134</v>
      </c>
      <c r="D39" s="18">
        <v>16</v>
      </c>
      <c r="E39" s="17">
        <v>14</v>
      </c>
      <c r="F39" s="17">
        <v>253</v>
      </c>
      <c r="G39" s="17">
        <v>360</v>
      </c>
      <c r="H39" s="23">
        <f t="shared" si="0"/>
        <v>0.70277777777777772</v>
      </c>
    </row>
    <row r="40" spans="1:8" x14ac:dyDescent="0.3">
      <c r="A40" s="18">
        <v>2</v>
      </c>
      <c r="B40" s="40">
        <v>44974</v>
      </c>
      <c r="C40" s="18" t="s">
        <v>135</v>
      </c>
      <c r="D40" s="18">
        <v>17</v>
      </c>
      <c r="E40" s="17">
        <v>13</v>
      </c>
      <c r="F40" s="17">
        <v>69</v>
      </c>
      <c r="G40" s="17">
        <v>110</v>
      </c>
      <c r="H40" s="23">
        <f t="shared" si="0"/>
        <v>0.62727272727272732</v>
      </c>
    </row>
    <row r="41" spans="1:8" x14ac:dyDescent="0.3">
      <c r="A41" s="18">
        <v>2</v>
      </c>
      <c r="B41" s="40">
        <v>44974</v>
      </c>
      <c r="C41" s="18" t="s">
        <v>136</v>
      </c>
      <c r="D41" s="18">
        <v>18</v>
      </c>
      <c r="E41" s="17">
        <v>12</v>
      </c>
      <c r="F41" s="17">
        <v>36</v>
      </c>
      <c r="G41" s="17">
        <v>72</v>
      </c>
      <c r="H41" s="23">
        <f t="shared" si="0"/>
        <v>0.5</v>
      </c>
    </row>
    <row r="42" spans="1:8" x14ac:dyDescent="0.3">
      <c r="A42" s="18">
        <v>2</v>
      </c>
      <c r="B42" s="40">
        <v>44974</v>
      </c>
      <c r="C42" s="18" t="s">
        <v>137</v>
      </c>
      <c r="D42" s="18">
        <v>19</v>
      </c>
      <c r="E42" s="17">
        <v>12</v>
      </c>
      <c r="F42" s="17">
        <v>56</v>
      </c>
      <c r="G42" s="17">
        <v>108</v>
      </c>
      <c r="H42" s="23">
        <f t="shared" si="0"/>
        <v>0.51851851851851849</v>
      </c>
    </row>
    <row r="43" spans="1:8" x14ac:dyDescent="0.3">
      <c r="A43" s="18">
        <v>2</v>
      </c>
      <c r="B43" s="40">
        <v>44974</v>
      </c>
      <c r="C43" s="18" t="s">
        <v>138</v>
      </c>
      <c r="D43" s="18">
        <v>20</v>
      </c>
      <c r="E43" s="17">
        <v>10</v>
      </c>
      <c r="F43" s="17">
        <v>97</v>
      </c>
      <c r="G43" s="17">
        <v>120</v>
      </c>
      <c r="H43" s="23">
        <f t="shared" si="0"/>
        <v>0.80833333333333335</v>
      </c>
    </row>
    <row r="44" spans="1:8" x14ac:dyDescent="0.3">
      <c r="A44" s="18">
        <v>2</v>
      </c>
      <c r="B44" s="40">
        <v>44974</v>
      </c>
      <c r="C44" s="18" t="s">
        <v>112</v>
      </c>
      <c r="D44" s="18">
        <v>21</v>
      </c>
      <c r="E44" s="17">
        <v>6</v>
      </c>
      <c r="F44" s="17">
        <v>35</v>
      </c>
      <c r="G44" s="17">
        <v>36</v>
      </c>
      <c r="H44" s="23">
        <f t="shared" si="0"/>
        <v>0.97222222222222221</v>
      </c>
    </row>
    <row r="45" spans="1:8" x14ac:dyDescent="0.3">
      <c r="A45" s="18">
        <v>2</v>
      </c>
      <c r="B45" s="40">
        <v>44974</v>
      </c>
      <c r="C45" s="18" t="s">
        <v>139</v>
      </c>
      <c r="D45" s="18">
        <v>22</v>
      </c>
      <c r="E45" s="17">
        <v>4</v>
      </c>
      <c r="F45" s="17">
        <v>22</v>
      </c>
      <c r="G45" s="17">
        <v>48</v>
      </c>
      <c r="H45" s="23">
        <f t="shared" si="0"/>
        <v>0.45833333333333331</v>
      </c>
    </row>
    <row r="46" spans="1:8" x14ac:dyDescent="0.3">
      <c r="A46" s="18">
        <v>3</v>
      </c>
      <c r="B46" s="40">
        <v>44981</v>
      </c>
      <c r="C46" s="18" t="s">
        <v>140</v>
      </c>
      <c r="D46" s="18">
        <v>1</v>
      </c>
      <c r="E46" s="17">
        <v>100</v>
      </c>
      <c r="F46" s="17">
        <v>1</v>
      </c>
      <c r="G46" s="17">
        <v>1</v>
      </c>
      <c r="H46" s="23">
        <f t="shared" si="0"/>
        <v>1</v>
      </c>
    </row>
    <row r="47" spans="1:8" x14ac:dyDescent="0.3">
      <c r="A47" s="18">
        <v>4</v>
      </c>
      <c r="B47" s="40">
        <v>44988</v>
      </c>
      <c r="C47" s="18" t="s">
        <v>105</v>
      </c>
      <c r="D47" s="18">
        <v>1</v>
      </c>
      <c r="E47" s="17">
        <v>80</v>
      </c>
      <c r="F47" s="17">
        <v>5639</v>
      </c>
      <c r="G47" s="17">
        <v>4500</v>
      </c>
      <c r="H47" s="23">
        <f t="shared" si="0"/>
        <v>1.2531111111111111</v>
      </c>
    </row>
    <row r="48" spans="1:8" x14ac:dyDescent="0.3">
      <c r="A48" s="18">
        <v>4</v>
      </c>
      <c r="B48" s="40">
        <v>44988</v>
      </c>
      <c r="C48" s="18" t="s">
        <v>112</v>
      </c>
      <c r="D48" s="18">
        <v>2</v>
      </c>
      <c r="E48" s="17">
        <v>80</v>
      </c>
      <c r="F48" s="17">
        <v>2334</v>
      </c>
      <c r="G48" s="17">
        <v>2187</v>
      </c>
      <c r="H48" s="23">
        <f t="shared" si="0"/>
        <v>1.0672153635116599</v>
      </c>
    </row>
    <row r="49" spans="1:8" x14ac:dyDescent="0.3">
      <c r="A49" s="18">
        <v>4</v>
      </c>
      <c r="B49" s="40">
        <v>44988</v>
      </c>
      <c r="C49" s="18" t="s">
        <v>120</v>
      </c>
      <c r="D49" s="18">
        <v>3</v>
      </c>
      <c r="E49" s="17">
        <v>80</v>
      </c>
      <c r="F49" s="17">
        <v>2390</v>
      </c>
      <c r="G49" s="17">
        <v>1921</v>
      </c>
      <c r="H49" s="23">
        <f t="shared" si="0"/>
        <v>1.2441436751691828</v>
      </c>
    </row>
    <row r="50" spans="1:8" x14ac:dyDescent="0.3">
      <c r="A50" s="18">
        <v>4</v>
      </c>
      <c r="B50" s="40">
        <v>44988</v>
      </c>
      <c r="C50" s="18" t="s">
        <v>141</v>
      </c>
      <c r="D50" s="18">
        <v>4</v>
      </c>
      <c r="E50" s="17">
        <v>80</v>
      </c>
      <c r="F50" s="17">
        <v>2846</v>
      </c>
      <c r="G50" s="17">
        <v>2330</v>
      </c>
      <c r="H50" s="23">
        <f t="shared" si="0"/>
        <v>1.2214592274678111</v>
      </c>
    </row>
    <row r="51" spans="1:8" x14ac:dyDescent="0.3">
      <c r="A51" s="18">
        <v>4</v>
      </c>
      <c r="B51" s="40">
        <v>44988</v>
      </c>
      <c r="C51" s="18" t="s">
        <v>130</v>
      </c>
      <c r="D51" s="18">
        <v>5</v>
      </c>
      <c r="E51" s="17">
        <v>80</v>
      </c>
      <c r="F51" s="17">
        <v>1871</v>
      </c>
      <c r="G51" s="17">
        <v>1906</v>
      </c>
      <c r="H51" s="23">
        <f t="shared" si="0"/>
        <v>0.98163693599160551</v>
      </c>
    </row>
    <row r="52" spans="1:8" x14ac:dyDescent="0.3">
      <c r="A52" s="18">
        <v>4</v>
      </c>
      <c r="B52" s="40">
        <v>44988</v>
      </c>
      <c r="C52" s="18" t="s">
        <v>108</v>
      </c>
      <c r="D52" s="18">
        <v>6</v>
      </c>
      <c r="E52" s="17">
        <v>80</v>
      </c>
      <c r="F52" s="17">
        <v>397</v>
      </c>
      <c r="G52" s="17">
        <v>365</v>
      </c>
      <c r="H52" s="23">
        <f t="shared" si="0"/>
        <v>1.0876712328767124</v>
      </c>
    </row>
    <row r="53" spans="1:8" x14ac:dyDescent="0.3">
      <c r="A53" s="18">
        <v>4</v>
      </c>
      <c r="B53" s="40">
        <v>44988</v>
      </c>
      <c r="C53" s="18" t="s">
        <v>142</v>
      </c>
      <c r="D53" s="18">
        <v>7</v>
      </c>
      <c r="E53" s="17">
        <v>69</v>
      </c>
      <c r="F53" s="17">
        <v>747</v>
      </c>
      <c r="G53" s="17">
        <v>888</v>
      </c>
      <c r="H53" s="23">
        <f t="shared" si="0"/>
        <v>0.84121621621621623</v>
      </c>
    </row>
    <row r="54" spans="1:8" x14ac:dyDescent="0.3">
      <c r="A54" s="18">
        <v>4</v>
      </c>
      <c r="B54" s="40">
        <v>44988</v>
      </c>
      <c r="C54" s="18" t="s">
        <v>143</v>
      </c>
      <c r="D54" s="18">
        <v>8</v>
      </c>
      <c r="E54" s="17">
        <v>59</v>
      </c>
      <c r="F54" s="17">
        <v>428</v>
      </c>
      <c r="G54" s="17">
        <v>569</v>
      </c>
      <c r="H54" s="23">
        <f t="shared" si="0"/>
        <v>0.75219683655536029</v>
      </c>
    </row>
    <row r="55" spans="1:8" x14ac:dyDescent="0.3">
      <c r="A55" s="18">
        <v>4</v>
      </c>
      <c r="B55" s="40">
        <v>44988</v>
      </c>
      <c r="C55" s="18" t="s">
        <v>144</v>
      </c>
      <c r="D55" s="18">
        <v>9</v>
      </c>
      <c r="E55" s="17">
        <v>47</v>
      </c>
      <c r="F55" s="17">
        <v>824</v>
      </c>
      <c r="G55" s="17">
        <v>1381</v>
      </c>
      <c r="H55" s="23">
        <f t="shared" si="0"/>
        <v>0.59666908037653876</v>
      </c>
    </row>
    <row r="56" spans="1:8" x14ac:dyDescent="0.3">
      <c r="A56" s="18">
        <v>4</v>
      </c>
      <c r="B56" s="40">
        <v>44988</v>
      </c>
      <c r="C56" s="18" t="s">
        <v>113</v>
      </c>
      <c r="D56" s="18">
        <v>10</v>
      </c>
      <c r="E56" s="17">
        <v>37</v>
      </c>
      <c r="F56" s="17">
        <v>198</v>
      </c>
      <c r="G56" s="17">
        <v>178</v>
      </c>
      <c r="H56" s="23">
        <f t="shared" si="0"/>
        <v>1.1123595505617978</v>
      </c>
    </row>
    <row r="57" spans="1:8" x14ac:dyDescent="0.3">
      <c r="A57" s="18">
        <v>4</v>
      </c>
      <c r="B57" s="40">
        <v>44988</v>
      </c>
      <c r="C57" s="18" t="s">
        <v>145</v>
      </c>
      <c r="D57" s="18">
        <v>11</v>
      </c>
      <c r="E57" s="17">
        <v>33</v>
      </c>
      <c r="F57" s="17">
        <v>599</v>
      </c>
      <c r="G57" s="17">
        <v>872</v>
      </c>
      <c r="H57" s="23">
        <f t="shared" si="0"/>
        <v>0.68692660550458717</v>
      </c>
    </row>
    <row r="58" spans="1:8" x14ac:dyDescent="0.3">
      <c r="A58" s="18">
        <v>4</v>
      </c>
      <c r="B58" s="40">
        <v>44988</v>
      </c>
      <c r="C58" s="18" t="s">
        <v>115</v>
      </c>
      <c r="D58" s="18">
        <v>12</v>
      </c>
      <c r="E58" s="17">
        <v>30</v>
      </c>
      <c r="F58" s="17">
        <v>204</v>
      </c>
      <c r="G58" s="17">
        <v>249</v>
      </c>
      <c r="H58" s="23">
        <f t="shared" si="0"/>
        <v>0.81927710843373491</v>
      </c>
    </row>
    <row r="59" spans="1:8" x14ac:dyDescent="0.3">
      <c r="A59" s="18">
        <v>4</v>
      </c>
      <c r="B59" s="40">
        <v>44988</v>
      </c>
      <c r="C59" s="18" t="s">
        <v>146</v>
      </c>
      <c r="D59" s="18">
        <v>13</v>
      </c>
      <c r="E59" s="17">
        <v>15</v>
      </c>
      <c r="F59" s="17">
        <v>56</v>
      </c>
      <c r="G59" s="17">
        <v>100</v>
      </c>
      <c r="H59" s="23">
        <f t="shared" si="0"/>
        <v>0.56000000000000005</v>
      </c>
    </row>
    <row r="60" spans="1:8" x14ac:dyDescent="0.3">
      <c r="A60" s="18">
        <v>4</v>
      </c>
      <c r="B60" s="40">
        <v>44988</v>
      </c>
      <c r="C60" s="18" t="s">
        <v>147</v>
      </c>
      <c r="D60" s="18">
        <v>13</v>
      </c>
      <c r="E60" s="17">
        <v>15</v>
      </c>
      <c r="F60" s="17">
        <v>157</v>
      </c>
      <c r="G60" s="17">
        <v>241</v>
      </c>
      <c r="H60" s="23">
        <f t="shared" si="0"/>
        <v>0.65145228215767637</v>
      </c>
    </row>
    <row r="61" spans="1:8" x14ac:dyDescent="0.3">
      <c r="A61" s="18">
        <v>4</v>
      </c>
      <c r="B61" s="40">
        <v>44988</v>
      </c>
      <c r="C61" s="18" t="s">
        <v>148</v>
      </c>
      <c r="D61" s="18">
        <v>13</v>
      </c>
      <c r="E61" s="17">
        <v>15</v>
      </c>
      <c r="F61" s="17">
        <v>87</v>
      </c>
      <c r="G61" s="17">
        <v>111</v>
      </c>
      <c r="H61" s="23">
        <f t="shared" si="0"/>
        <v>0.78378378378378377</v>
      </c>
    </row>
    <row r="62" spans="1:8" x14ac:dyDescent="0.3">
      <c r="A62" s="18">
        <v>4</v>
      </c>
      <c r="B62" s="40">
        <v>44988</v>
      </c>
      <c r="C62" s="18" t="s">
        <v>149</v>
      </c>
      <c r="D62" s="18">
        <v>13</v>
      </c>
      <c r="E62" s="17">
        <v>15</v>
      </c>
      <c r="F62" s="17">
        <v>53</v>
      </c>
      <c r="G62" s="17">
        <v>77</v>
      </c>
      <c r="H62" s="23">
        <f t="shared" si="0"/>
        <v>0.68831168831168832</v>
      </c>
    </row>
    <row r="63" spans="1:8" x14ac:dyDescent="0.3">
      <c r="A63" s="18">
        <v>4</v>
      </c>
      <c r="B63" s="40">
        <v>44988</v>
      </c>
      <c r="C63" s="18" t="s">
        <v>150</v>
      </c>
      <c r="D63" s="18">
        <v>13</v>
      </c>
      <c r="E63" s="17">
        <v>15</v>
      </c>
      <c r="F63" s="17">
        <v>138</v>
      </c>
      <c r="G63" s="17">
        <v>194</v>
      </c>
      <c r="H63" s="23">
        <f t="shared" si="0"/>
        <v>0.71134020618556704</v>
      </c>
    </row>
    <row r="64" spans="1:8" x14ac:dyDescent="0.3">
      <c r="A64" s="18">
        <v>4</v>
      </c>
      <c r="B64" s="40">
        <v>44988</v>
      </c>
      <c r="C64" s="18" t="s">
        <v>109</v>
      </c>
      <c r="D64" s="18">
        <v>13</v>
      </c>
      <c r="E64" s="17">
        <v>15</v>
      </c>
      <c r="F64" s="17">
        <v>90</v>
      </c>
      <c r="G64" s="17">
        <v>109</v>
      </c>
      <c r="H64" s="23">
        <f t="shared" si="0"/>
        <v>0.82568807339449546</v>
      </c>
    </row>
    <row r="65" spans="1:8" x14ac:dyDescent="0.3">
      <c r="A65" s="18">
        <v>4</v>
      </c>
      <c r="B65" s="40">
        <v>44988</v>
      </c>
      <c r="C65" s="18" t="s">
        <v>131</v>
      </c>
      <c r="D65" s="18">
        <v>19</v>
      </c>
      <c r="E65" s="17">
        <v>9</v>
      </c>
      <c r="F65" s="17">
        <v>50</v>
      </c>
      <c r="G65" s="17">
        <v>78</v>
      </c>
      <c r="H65" s="23">
        <f t="shared" si="0"/>
        <v>0.64102564102564108</v>
      </c>
    </row>
    <row r="66" spans="1:8" x14ac:dyDescent="0.3">
      <c r="A66" s="18">
        <v>4</v>
      </c>
      <c r="B66" s="40">
        <v>44988</v>
      </c>
      <c r="C66" s="18" t="s">
        <v>151</v>
      </c>
      <c r="D66" s="18">
        <v>20</v>
      </c>
      <c r="E66" s="17">
        <v>9</v>
      </c>
      <c r="F66" s="17">
        <v>43</v>
      </c>
      <c r="G66" s="17">
        <v>77</v>
      </c>
      <c r="H66" s="23">
        <f t="shared" ref="H66:H129" si="1">F66/G66</f>
        <v>0.55844155844155841</v>
      </c>
    </row>
    <row r="67" spans="1:8" x14ac:dyDescent="0.3">
      <c r="A67" s="18">
        <v>4</v>
      </c>
      <c r="B67" s="40">
        <v>44988</v>
      </c>
      <c r="C67" s="18" t="s">
        <v>152</v>
      </c>
      <c r="D67" s="18">
        <v>21</v>
      </c>
      <c r="E67" s="17">
        <v>6</v>
      </c>
      <c r="F67" s="17">
        <v>13</v>
      </c>
      <c r="G67" s="17">
        <v>29</v>
      </c>
      <c r="H67" s="23">
        <f t="shared" si="1"/>
        <v>0.44827586206896552</v>
      </c>
    </row>
    <row r="68" spans="1:8" x14ac:dyDescent="0.3">
      <c r="A68" s="18">
        <v>4</v>
      </c>
      <c r="B68" s="40">
        <v>44988</v>
      </c>
      <c r="C68" s="18" t="s">
        <v>153</v>
      </c>
      <c r="D68" s="18">
        <v>22</v>
      </c>
      <c r="E68" s="17">
        <v>4</v>
      </c>
      <c r="F68" s="17">
        <v>24</v>
      </c>
      <c r="G68" s="17">
        <v>30</v>
      </c>
      <c r="H68" s="23">
        <f t="shared" si="1"/>
        <v>0.8</v>
      </c>
    </row>
    <row r="69" spans="1:8" x14ac:dyDescent="0.3">
      <c r="A69" s="18">
        <v>4</v>
      </c>
      <c r="B69" s="40">
        <v>44988</v>
      </c>
      <c r="C69" s="18" t="s">
        <v>154</v>
      </c>
      <c r="D69" s="18">
        <v>23</v>
      </c>
      <c r="E69" s="17">
        <v>3</v>
      </c>
      <c r="F69" s="17">
        <v>12</v>
      </c>
      <c r="G69" s="17">
        <v>10</v>
      </c>
      <c r="H69" s="23">
        <f t="shared" si="1"/>
        <v>1.2</v>
      </c>
    </row>
    <row r="70" spans="1:8" x14ac:dyDescent="0.3">
      <c r="A70" s="18">
        <v>5</v>
      </c>
      <c r="B70" s="40">
        <v>44995</v>
      </c>
      <c r="C70" s="18" t="s">
        <v>155</v>
      </c>
      <c r="D70" s="18">
        <v>1</v>
      </c>
      <c r="E70" s="17">
        <v>85</v>
      </c>
      <c r="F70" s="17">
        <v>7201</v>
      </c>
      <c r="G70" s="17">
        <v>5647</v>
      </c>
      <c r="H70" s="23">
        <f t="shared" si="1"/>
        <v>1.2751903665663185</v>
      </c>
    </row>
    <row r="71" spans="1:8" x14ac:dyDescent="0.3">
      <c r="A71" s="18">
        <v>5</v>
      </c>
      <c r="B71" s="40">
        <v>44995</v>
      </c>
      <c r="C71" s="18" t="s">
        <v>115</v>
      </c>
      <c r="D71" s="18">
        <v>2</v>
      </c>
      <c r="E71" s="17">
        <v>85</v>
      </c>
      <c r="F71" s="17">
        <v>1922</v>
      </c>
      <c r="G71" s="17">
        <v>1515</v>
      </c>
      <c r="H71" s="23">
        <f t="shared" si="1"/>
        <v>1.2686468646864686</v>
      </c>
    </row>
    <row r="72" spans="1:8" x14ac:dyDescent="0.3">
      <c r="A72" s="18">
        <v>5</v>
      </c>
      <c r="B72" s="40">
        <v>44995</v>
      </c>
      <c r="C72" s="18" t="s">
        <v>106</v>
      </c>
      <c r="D72" s="18">
        <v>3</v>
      </c>
      <c r="E72" s="17">
        <v>85</v>
      </c>
      <c r="F72" s="17">
        <v>4402</v>
      </c>
      <c r="G72" s="17">
        <v>4488</v>
      </c>
      <c r="H72" s="23">
        <f t="shared" si="1"/>
        <v>0.98083778966131907</v>
      </c>
    </row>
    <row r="73" spans="1:8" x14ac:dyDescent="0.3">
      <c r="A73" s="18">
        <v>5</v>
      </c>
      <c r="B73" s="40">
        <v>44995</v>
      </c>
      <c r="C73" s="18" t="s">
        <v>156</v>
      </c>
      <c r="D73" s="18">
        <v>4</v>
      </c>
      <c r="E73" s="17">
        <v>85</v>
      </c>
      <c r="F73" s="17">
        <v>558</v>
      </c>
      <c r="G73" s="17">
        <v>349</v>
      </c>
      <c r="H73" s="23">
        <f t="shared" si="1"/>
        <v>1.5988538681948423</v>
      </c>
    </row>
    <row r="74" spans="1:8" x14ac:dyDescent="0.3">
      <c r="A74" s="18">
        <v>5</v>
      </c>
      <c r="B74" s="40">
        <v>44995</v>
      </c>
      <c r="C74" s="18" t="s">
        <v>157</v>
      </c>
      <c r="D74" s="18">
        <v>5</v>
      </c>
      <c r="E74" s="17">
        <v>85</v>
      </c>
      <c r="F74" s="17">
        <v>6690</v>
      </c>
      <c r="G74" s="17">
        <v>6336</v>
      </c>
      <c r="H74" s="23">
        <f t="shared" si="1"/>
        <v>1.0558712121212122</v>
      </c>
    </row>
    <row r="75" spans="1:8" x14ac:dyDescent="0.3">
      <c r="A75" s="18">
        <v>5</v>
      </c>
      <c r="B75" s="40">
        <v>44995</v>
      </c>
      <c r="C75" s="18" t="s">
        <v>112</v>
      </c>
      <c r="D75" s="18">
        <v>6</v>
      </c>
      <c r="E75" s="17">
        <v>85</v>
      </c>
      <c r="F75" s="17">
        <v>931</v>
      </c>
      <c r="G75" s="17">
        <v>714</v>
      </c>
      <c r="H75" s="23">
        <f t="shared" si="1"/>
        <v>1.303921568627451</v>
      </c>
    </row>
    <row r="76" spans="1:8" x14ac:dyDescent="0.3">
      <c r="A76" s="18">
        <v>5</v>
      </c>
      <c r="B76" s="40">
        <v>44995</v>
      </c>
      <c r="C76" s="18" t="s">
        <v>113</v>
      </c>
      <c r="D76" s="18">
        <v>7</v>
      </c>
      <c r="E76" s="17">
        <v>85</v>
      </c>
      <c r="F76" s="17">
        <v>666</v>
      </c>
      <c r="G76" s="17">
        <v>794</v>
      </c>
      <c r="H76" s="23">
        <f t="shared" si="1"/>
        <v>0.83879093198992438</v>
      </c>
    </row>
    <row r="77" spans="1:8" x14ac:dyDescent="0.3">
      <c r="A77" s="18">
        <v>5</v>
      </c>
      <c r="B77" s="40">
        <v>44995</v>
      </c>
      <c r="C77" s="18" t="s">
        <v>109</v>
      </c>
      <c r="D77" s="18">
        <v>8</v>
      </c>
      <c r="E77" s="17">
        <v>85</v>
      </c>
      <c r="F77" s="17">
        <v>1235</v>
      </c>
      <c r="G77" s="17">
        <v>993</v>
      </c>
      <c r="H77" s="23">
        <f t="shared" si="1"/>
        <v>1.243705941591138</v>
      </c>
    </row>
    <row r="78" spans="1:8" x14ac:dyDescent="0.3">
      <c r="A78" s="18">
        <v>5</v>
      </c>
      <c r="B78" s="40">
        <v>44995</v>
      </c>
      <c r="C78" s="18" t="s">
        <v>140</v>
      </c>
      <c r="D78" s="18">
        <v>9</v>
      </c>
      <c r="E78" s="17">
        <v>82</v>
      </c>
      <c r="F78" s="17">
        <v>1428</v>
      </c>
      <c r="G78" s="17">
        <v>1272</v>
      </c>
      <c r="H78" s="23">
        <f t="shared" si="1"/>
        <v>1.1226415094339623</v>
      </c>
    </row>
    <row r="79" spans="1:8" x14ac:dyDescent="0.3">
      <c r="A79" s="18">
        <v>5</v>
      </c>
      <c r="B79" s="40">
        <v>44995</v>
      </c>
      <c r="C79" s="18" t="s">
        <v>158</v>
      </c>
      <c r="D79" s="18">
        <v>10</v>
      </c>
      <c r="E79" s="17">
        <v>76</v>
      </c>
      <c r="F79" s="17">
        <v>1281</v>
      </c>
      <c r="G79" s="17">
        <v>1595</v>
      </c>
      <c r="H79" s="23">
        <f t="shared" si="1"/>
        <v>0.80313479623824446</v>
      </c>
    </row>
    <row r="80" spans="1:8" x14ac:dyDescent="0.3">
      <c r="A80" s="18">
        <v>5</v>
      </c>
      <c r="B80" s="40">
        <v>44995</v>
      </c>
      <c r="C80" s="18" t="s">
        <v>159</v>
      </c>
      <c r="D80" s="18">
        <v>11</v>
      </c>
      <c r="E80" s="17">
        <v>54</v>
      </c>
      <c r="F80" s="17">
        <v>3005</v>
      </c>
      <c r="G80" s="17">
        <v>4517</v>
      </c>
      <c r="H80" s="23">
        <f t="shared" si="1"/>
        <v>0.66526455612131941</v>
      </c>
    </row>
    <row r="81" spans="1:8" x14ac:dyDescent="0.3">
      <c r="A81" s="18">
        <v>5</v>
      </c>
      <c r="B81" s="40">
        <v>44995</v>
      </c>
      <c r="C81" s="18" t="s">
        <v>160</v>
      </c>
      <c r="D81" s="18">
        <v>12</v>
      </c>
      <c r="E81" s="17">
        <v>35</v>
      </c>
      <c r="F81" s="17">
        <v>387</v>
      </c>
      <c r="G81" s="17">
        <v>453</v>
      </c>
      <c r="H81" s="23">
        <f t="shared" si="1"/>
        <v>0.85430463576158944</v>
      </c>
    </row>
    <row r="82" spans="1:8" x14ac:dyDescent="0.3">
      <c r="A82" s="18">
        <v>5</v>
      </c>
      <c r="B82" s="40">
        <v>44995</v>
      </c>
      <c r="C82" s="18" t="s">
        <v>161</v>
      </c>
      <c r="D82" s="18">
        <v>13</v>
      </c>
      <c r="E82" s="17">
        <v>24</v>
      </c>
      <c r="F82" s="17">
        <v>347</v>
      </c>
      <c r="G82" s="17">
        <v>372</v>
      </c>
      <c r="H82" s="23">
        <f t="shared" si="1"/>
        <v>0.93279569892473113</v>
      </c>
    </row>
    <row r="83" spans="1:8" x14ac:dyDescent="0.3">
      <c r="A83" s="18">
        <v>5</v>
      </c>
      <c r="B83" s="40">
        <v>44995</v>
      </c>
      <c r="C83" s="18" t="s">
        <v>108</v>
      </c>
      <c r="D83" s="18">
        <v>14</v>
      </c>
      <c r="E83" s="17">
        <v>15</v>
      </c>
      <c r="F83" s="17">
        <v>31</v>
      </c>
      <c r="G83" s="17">
        <v>48</v>
      </c>
      <c r="H83" s="23">
        <f t="shared" si="1"/>
        <v>0.64583333333333337</v>
      </c>
    </row>
    <row r="84" spans="1:8" x14ac:dyDescent="0.3">
      <c r="A84" s="18">
        <v>5</v>
      </c>
      <c r="B84" s="40">
        <v>44995</v>
      </c>
      <c r="C84" s="18" t="s">
        <v>162</v>
      </c>
      <c r="D84" s="18">
        <v>15</v>
      </c>
      <c r="E84" s="17">
        <v>13</v>
      </c>
      <c r="F84" s="17">
        <v>120</v>
      </c>
      <c r="G84" s="17">
        <v>203</v>
      </c>
      <c r="H84" s="23">
        <f t="shared" si="1"/>
        <v>0.59113300492610843</v>
      </c>
    </row>
    <row r="85" spans="1:8" x14ac:dyDescent="0.3">
      <c r="A85" s="18">
        <v>5</v>
      </c>
      <c r="B85" s="40">
        <v>44995</v>
      </c>
      <c r="C85" s="18" t="s">
        <v>130</v>
      </c>
      <c r="D85" s="18">
        <v>16</v>
      </c>
      <c r="E85" s="17">
        <v>10</v>
      </c>
      <c r="F85" s="17">
        <v>45</v>
      </c>
      <c r="G85" s="17">
        <v>90</v>
      </c>
      <c r="H85" s="23">
        <f t="shared" si="1"/>
        <v>0.5</v>
      </c>
    </row>
    <row r="86" spans="1:8" x14ac:dyDescent="0.3">
      <c r="A86" s="18">
        <v>5</v>
      </c>
      <c r="B86" s="40">
        <v>44995</v>
      </c>
      <c r="C86" s="18" t="s">
        <v>163</v>
      </c>
      <c r="D86" s="18">
        <v>17</v>
      </c>
      <c r="E86" s="17">
        <v>9</v>
      </c>
      <c r="F86" s="17">
        <v>80</v>
      </c>
      <c r="G86" s="17">
        <v>114</v>
      </c>
      <c r="H86" s="23">
        <f t="shared" si="1"/>
        <v>0.70175438596491224</v>
      </c>
    </row>
    <row r="87" spans="1:8" x14ac:dyDescent="0.3">
      <c r="A87" s="18">
        <v>5</v>
      </c>
      <c r="B87" s="40">
        <v>44995</v>
      </c>
      <c r="C87" s="18" t="s">
        <v>153</v>
      </c>
      <c r="D87" s="18">
        <v>18</v>
      </c>
      <c r="E87" s="17">
        <v>6</v>
      </c>
      <c r="F87" s="17">
        <v>74</v>
      </c>
      <c r="G87" s="17">
        <v>101</v>
      </c>
      <c r="H87" s="23">
        <f t="shared" si="1"/>
        <v>0.73267326732673266</v>
      </c>
    </row>
    <row r="88" spans="1:8" x14ac:dyDescent="0.3">
      <c r="A88" s="18">
        <v>5</v>
      </c>
      <c r="B88" s="40">
        <v>44995</v>
      </c>
      <c r="C88" s="18" t="s">
        <v>145</v>
      </c>
      <c r="D88" s="18">
        <v>19</v>
      </c>
      <c r="E88" s="17">
        <v>5</v>
      </c>
      <c r="F88" s="17">
        <v>10</v>
      </c>
      <c r="G88" s="17">
        <v>28</v>
      </c>
      <c r="H88" s="23">
        <f t="shared" si="1"/>
        <v>0.35714285714285715</v>
      </c>
    </row>
    <row r="89" spans="1:8" x14ac:dyDescent="0.3">
      <c r="A89" s="18">
        <v>5</v>
      </c>
      <c r="B89" s="40">
        <v>44995</v>
      </c>
      <c r="C89" s="18" t="s">
        <v>147</v>
      </c>
      <c r="D89" s="18">
        <v>20</v>
      </c>
      <c r="E89" s="17">
        <v>5</v>
      </c>
      <c r="F89" s="17">
        <v>35</v>
      </c>
      <c r="G89" s="17">
        <v>40</v>
      </c>
      <c r="H89" s="23">
        <f t="shared" si="1"/>
        <v>0.875</v>
      </c>
    </row>
    <row r="90" spans="1:8" x14ac:dyDescent="0.3">
      <c r="A90" s="18">
        <v>5</v>
      </c>
      <c r="B90" s="40">
        <v>44995</v>
      </c>
      <c r="C90" s="18" t="s">
        <v>164</v>
      </c>
      <c r="D90" s="18">
        <v>21</v>
      </c>
      <c r="E90" s="17">
        <v>4</v>
      </c>
      <c r="F90" s="17">
        <v>16</v>
      </c>
      <c r="G90" s="17">
        <v>33</v>
      </c>
      <c r="H90" s="23">
        <f t="shared" si="1"/>
        <v>0.48484848484848486</v>
      </c>
    </row>
    <row r="91" spans="1:8" x14ac:dyDescent="0.3">
      <c r="A91" s="37">
        <v>6</v>
      </c>
      <c r="B91" s="40">
        <v>45002</v>
      </c>
      <c r="C91" s="18" t="s">
        <v>165</v>
      </c>
      <c r="D91" s="18">
        <v>1</v>
      </c>
      <c r="E91" s="17">
        <v>125</v>
      </c>
      <c r="F91" s="17">
        <v>8041</v>
      </c>
      <c r="G91" s="17">
        <v>9288</v>
      </c>
      <c r="H91" s="23">
        <f t="shared" si="1"/>
        <v>0.8657407407407407</v>
      </c>
    </row>
    <row r="92" spans="1:8" x14ac:dyDescent="0.3">
      <c r="A92" s="37">
        <v>6</v>
      </c>
      <c r="B92" s="40">
        <v>45002</v>
      </c>
      <c r="C92" s="18" t="s">
        <v>158</v>
      </c>
      <c r="D92" s="18">
        <v>2</v>
      </c>
      <c r="E92" s="17">
        <v>125</v>
      </c>
      <c r="F92" s="17">
        <v>13881</v>
      </c>
      <c r="G92" s="17">
        <v>10855</v>
      </c>
      <c r="H92" s="23">
        <f t="shared" si="1"/>
        <v>1.278765545831414</v>
      </c>
    </row>
    <row r="93" spans="1:8" x14ac:dyDescent="0.3">
      <c r="A93" s="37">
        <v>6</v>
      </c>
      <c r="B93" s="40">
        <v>45002</v>
      </c>
      <c r="C93" s="18" t="s">
        <v>127</v>
      </c>
      <c r="D93" s="18">
        <v>3</v>
      </c>
      <c r="E93" s="17">
        <v>125</v>
      </c>
      <c r="F93" s="17">
        <v>3156</v>
      </c>
      <c r="G93" s="17">
        <v>2542</v>
      </c>
      <c r="H93" s="23">
        <f t="shared" si="1"/>
        <v>1.2415420928402832</v>
      </c>
    </row>
    <row r="94" spans="1:8" x14ac:dyDescent="0.3">
      <c r="A94" s="37">
        <v>6</v>
      </c>
      <c r="B94" s="40">
        <v>45002</v>
      </c>
      <c r="C94" s="18" t="s">
        <v>145</v>
      </c>
      <c r="D94" s="18">
        <v>4</v>
      </c>
      <c r="E94" s="17">
        <v>125</v>
      </c>
      <c r="F94" s="17">
        <v>1424</v>
      </c>
      <c r="G94" s="17">
        <v>1842</v>
      </c>
      <c r="H94" s="23">
        <f t="shared" si="1"/>
        <v>0.7730727470141151</v>
      </c>
    </row>
    <row r="95" spans="1:8" x14ac:dyDescent="0.3">
      <c r="A95" s="37">
        <v>6</v>
      </c>
      <c r="B95" s="40">
        <v>45002</v>
      </c>
      <c r="C95" s="18" t="s">
        <v>105</v>
      </c>
      <c r="D95" s="18">
        <v>5</v>
      </c>
      <c r="E95" s="17">
        <v>122</v>
      </c>
      <c r="F95" s="17">
        <v>9638</v>
      </c>
      <c r="G95" s="17">
        <v>7143</v>
      </c>
      <c r="H95" s="23">
        <f t="shared" si="1"/>
        <v>1.3492930141397173</v>
      </c>
    </row>
    <row r="96" spans="1:8" x14ac:dyDescent="0.3">
      <c r="A96" s="37">
        <v>6</v>
      </c>
      <c r="B96" s="40">
        <v>45002</v>
      </c>
      <c r="C96" s="18" t="s">
        <v>113</v>
      </c>
      <c r="D96" s="18">
        <v>6</v>
      </c>
      <c r="E96" s="17">
        <v>105</v>
      </c>
      <c r="F96" s="17">
        <v>4239</v>
      </c>
      <c r="G96" s="17">
        <v>3922</v>
      </c>
      <c r="H96" s="23">
        <f t="shared" si="1"/>
        <v>1.0808261091279958</v>
      </c>
    </row>
    <row r="97" spans="1:8" x14ac:dyDescent="0.3">
      <c r="A97" s="37">
        <v>6</v>
      </c>
      <c r="B97" s="40">
        <v>45002</v>
      </c>
      <c r="C97" s="18" t="s">
        <v>109</v>
      </c>
      <c r="D97" s="18">
        <v>7</v>
      </c>
      <c r="E97" s="17">
        <v>88</v>
      </c>
      <c r="F97" s="17">
        <v>651</v>
      </c>
      <c r="G97" s="17">
        <v>1056</v>
      </c>
      <c r="H97" s="23">
        <f t="shared" si="1"/>
        <v>0.61647727272727271</v>
      </c>
    </row>
    <row r="98" spans="1:8" x14ac:dyDescent="0.3">
      <c r="A98" s="37">
        <v>6</v>
      </c>
      <c r="B98" s="40">
        <v>45002</v>
      </c>
      <c r="C98" s="18" t="s">
        <v>135</v>
      </c>
      <c r="D98" s="18">
        <v>8</v>
      </c>
      <c r="E98" s="17">
        <v>84</v>
      </c>
      <c r="F98" s="17">
        <v>1013</v>
      </c>
      <c r="G98" s="17">
        <v>1393</v>
      </c>
      <c r="H98" s="23">
        <f t="shared" si="1"/>
        <v>0.72720746590093321</v>
      </c>
    </row>
    <row r="99" spans="1:8" x14ac:dyDescent="0.3">
      <c r="A99" s="37">
        <v>6</v>
      </c>
      <c r="B99" s="40">
        <v>45002</v>
      </c>
      <c r="C99" s="18" t="s">
        <v>166</v>
      </c>
      <c r="D99" s="18">
        <v>9</v>
      </c>
      <c r="E99" s="17">
        <v>53</v>
      </c>
      <c r="F99" s="17">
        <v>964</v>
      </c>
      <c r="G99" s="17">
        <v>1753</v>
      </c>
      <c r="H99" s="23">
        <f t="shared" si="1"/>
        <v>0.54991443240159721</v>
      </c>
    </row>
    <row r="100" spans="1:8" x14ac:dyDescent="0.3">
      <c r="A100" s="37">
        <v>6</v>
      </c>
      <c r="B100" s="40">
        <v>45002</v>
      </c>
      <c r="C100" s="18" t="s">
        <v>167</v>
      </c>
      <c r="D100" s="18">
        <v>10</v>
      </c>
      <c r="E100" s="17">
        <v>34</v>
      </c>
      <c r="F100" s="17">
        <v>297</v>
      </c>
      <c r="G100" s="17">
        <v>342</v>
      </c>
      <c r="H100" s="23">
        <f t="shared" si="1"/>
        <v>0.86842105263157898</v>
      </c>
    </row>
    <row r="101" spans="1:8" x14ac:dyDescent="0.3">
      <c r="A101" s="37">
        <v>6</v>
      </c>
      <c r="B101" s="40">
        <v>45002</v>
      </c>
      <c r="C101" s="18" t="s">
        <v>131</v>
      </c>
      <c r="D101" s="18">
        <v>11</v>
      </c>
      <c r="E101" s="17">
        <v>32</v>
      </c>
      <c r="F101" s="17">
        <v>479</v>
      </c>
      <c r="G101" s="17">
        <v>561</v>
      </c>
      <c r="H101" s="23">
        <f t="shared" si="1"/>
        <v>0.85383244206773623</v>
      </c>
    </row>
    <row r="102" spans="1:8" x14ac:dyDescent="0.3">
      <c r="A102" s="37">
        <v>6</v>
      </c>
      <c r="B102" s="40">
        <v>45002</v>
      </c>
      <c r="C102" s="18" t="s">
        <v>130</v>
      </c>
      <c r="D102" s="18">
        <v>12</v>
      </c>
      <c r="E102" s="17">
        <v>31</v>
      </c>
      <c r="F102" s="17">
        <v>678</v>
      </c>
      <c r="G102" s="17">
        <v>855</v>
      </c>
      <c r="H102" s="23">
        <f t="shared" si="1"/>
        <v>0.7929824561403509</v>
      </c>
    </row>
    <row r="103" spans="1:8" x14ac:dyDescent="0.3">
      <c r="A103" s="37">
        <v>6</v>
      </c>
      <c r="B103" s="40">
        <v>45002</v>
      </c>
      <c r="C103" s="18" t="s">
        <v>161</v>
      </c>
      <c r="D103" s="18">
        <v>13</v>
      </c>
      <c r="E103" s="17">
        <v>20</v>
      </c>
      <c r="F103" s="17">
        <v>112</v>
      </c>
      <c r="G103" s="17">
        <v>147</v>
      </c>
      <c r="H103" s="23">
        <f t="shared" si="1"/>
        <v>0.76190476190476186</v>
      </c>
    </row>
    <row r="104" spans="1:8" x14ac:dyDescent="0.3">
      <c r="A104" s="37">
        <v>6</v>
      </c>
      <c r="B104" s="40">
        <v>45002</v>
      </c>
      <c r="C104" s="18" t="s">
        <v>138</v>
      </c>
      <c r="D104" s="18">
        <v>14</v>
      </c>
      <c r="E104" s="17">
        <v>17</v>
      </c>
      <c r="F104" s="17">
        <v>107</v>
      </c>
      <c r="G104" s="17">
        <v>182</v>
      </c>
      <c r="H104" s="23">
        <f t="shared" si="1"/>
        <v>0.58791208791208793</v>
      </c>
    </row>
    <row r="105" spans="1:8" x14ac:dyDescent="0.3">
      <c r="A105" s="37">
        <v>6</v>
      </c>
      <c r="B105" s="40">
        <v>45002</v>
      </c>
      <c r="C105" s="18" t="s">
        <v>115</v>
      </c>
      <c r="D105" s="18">
        <v>15</v>
      </c>
      <c r="E105" s="17">
        <v>16</v>
      </c>
      <c r="F105" s="17">
        <v>103</v>
      </c>
      <c r="G105" s="17">
        <v>154</v>
      </c>
      <c r="H105" s="23">
        <f t="shared" si="1"/>
        <v>0.66883116883116878</v>
      </c>
    </row>
    <row r="106" spans="1:8" x14ac:dyDescent="0.3">
      <c r="A106" s="37">
        <v>6</v>
      </c>
      <c r="B106" s="40">
        <v>45002</v>
      </c>
      <c r="C106" s="18" t="s">
        <v>168</v>
      </c>
      <c r="D106" s="18">
        <v>16</v>
      </c>
      <c r="E106" s="17">
        <v>12</v>
      </c>
      <c r="F106" s="17">
        <v>91</v>
      </c>
      <c r="G106" s="17">
        <v>127</v>
      </c>
      <c r="H106" s="23">
        <f t="shared" si="1"/>
        <v>0.71653543307086609</v>
      </c>
    </row>
    <row r="107" spans="1:8" x14ac:dyDescent="0.3">
      <c r="A107" s="37">
        <v>6</v>
      </c>
      <c r="B107" s="40">
        <v>45002</v>
      </c>
      <c r="C107" s="18" t="s">
        <v>140</v>
      </c>
      <c r="D107" s="18">
        <v>17</v>
      </c>
      <c r="E107" s="17">
        <v>12</v>
      </c>
      <c r="F107" s="17">
        <v>111</v>
      </c>
      <c r="G107" s="17">
        <v>125</v>
      </c>
      <c r="H107" s="23">
        <f t="shared" si="1"/>
        <v>0.88800000000000001</v>
      </c>
    </row>
    <row r="108" spans="1:8" x14ac:dyDescent="0.3">
      <c r="A108" s="37">
        <v>6</v>
      </c>
      <c r="B108" s="40">
        <v>45002</v>
      </c>
      <c r="C108" s="18" t="s">
        <v>122</v>
      </c>
      <c r="D108" s="18">
        <v>18</v>
      </c>
      <c r="E108" s="17">
        <v>12</v>
      </c>
      <c r="F108" s="17">
        <v>119</v>
      </c>
      <c r="G108" s="17">
        <v>204</v>
      </c>
      <c r="H108" s="23">
        <f t="shared" si="1"/>
        <v>0.58333333333333337</v>
      </c>
    </row>
    <row r="109" spans="1:8" x14ac:dyDescent="0.3">
      <c r="A109" s="37">
        <v>6</v>
      </c>
      <c r="B109" s="40">
        <v>45002</v>
      </c>
      <c r="C109" s="18" t="s">
        <v>169</v>
      </c>
      <c r="D109" s="18">
        <v>19</v>
      </c>
      <c r="E109" s="17">
        <v>10</v>
      </c>
      <c r="F109" s="17">
        <v>61</v>
      </c>
      <c r="G109" s="17">
        <v>111</v>
      </c>
      <c r="H109" s="23">
        <f t="shared" si="1"/>
        <v>0.5495495495495496</v>
      </c>
    </row>
    <row r="110" spans="1:8" x14ac:dyDescent="0.3">
      <c r="A110" s="37">
        <v>6</v>
      </c>
      <c r="B110" s="40">
        <v>45002</v>
      </c>
      <c r="C110" s="18" t="s">
        <v>170</v>
      </c>
      <c r="D110" s="18">
        <v>20</v>
      </c>
      <c r="E110" s="17">
        <v>9</v>
      </c>
      <c r="F110" s="17">
        <v>44</v>
      </c>
      <c r="G110" s="17">
        <v>66</v>
      </c>
      <c r="H110" s="23">
        <f t="shared" si="1"/>
        <v>0.66666666666666663</v>
      </c>
    </row>
    <row r="111" spans="1:8" x14ac:dyDescent="0.3">
      <c r="A111" s="37">
        <v>6</v>
      </c>
      <c r="B111" s="40">
        <v>45002</v>
      </c>
      <c r="C111" s="18" t="s">
        <v>171</v>
      </c>
      <c r="D111" s="18">
        <v>21</v>
      </c>
      <c r="E111" s="17">
        <v>9</v>
      </c>
      <c r="F111" s="17">
        <v>42</v>
      </c>
      <c r="G111" s="17">
        <v>80</v>
      </c>
      <c r="H111" s="23">
        <f t="shared" si="1"/>
        <v>0.52500000000000002</v>
      </c>
    </row>
    <row r="112" spans="1:8" x14ac:dyDescent="0.3">
      <c r="A112" s="37">
        <v>6</v>
      </c>
      <c r="B112" s="40">
        <v>45002</v>
      </c>
      <c r="C112" s="18" t="s">
        <v>125</v>
      </c>
      <c r="D112" s="18">
        <v>22</v>
      </c>
      <c r="E112" s="17">
        <v>7</v>
      </c>
      <c r="F112" s="17">
        <v>84</v>
      </c>
      <c r="G112" s="17">
        <v>85</v>
      </c>
      <c r="H112" s="23">
        <f t="shared" si="1"/>
        <v>0.9882352941176471</v>
      </c>
    </row>
    <row r="113" spans="1:8" x14ac:dyDescent="0.3">
      <c r="A113" s="37">
        <v>6</v>
      </c>
      <c r="B113" s="40">
        <v>45002</v>
      </c>
      <c r="C113" s="18" t="s">
        <v>172</v>
      </c>
      <c r="D113" s="18">
        <v>23</v>
      </c>
      <c r="E113" s="17">
        <v>6</v>
      </c>
      <c r="F113" s="17">
        <v>15</v>
      </c>
      <c r="G113" s="17">
        <v>52</v>
      </c>
      <c r="H113" s="23">
        <f t="shared" si="1"/>
        <v>0.28846153846153844</v>
      </c>
    </row>
    <row r="114" spans="1:8" x14ac:dyDescent="0.3">
      <c r="A114" s="41">
        <v>7</v>
      </c>
      <c r="B114" s="42">
        <v>45009</v>
      </c>
      <c r="C114" s="18" t="s">
        <v>105</v>
      </c>
      <c r="D114" s="18">
        <v>1</v>
      </c>
      <c r="E114" s="17">
        <v>87</v>
      </c>
      <c r="F114" s="17">
        <v>8932</v>
      </c>
      <c r="G114" s="17">
        <v>6217</v>
      </c>
      <c r="H114" s="23">
        <f t="shared" si="1"/>
        <v>1.4367058066591603</v>
      </c>
    </row>
    <row r="115" spans="1:8" x14ac:dyDescent="0.3">
      <c r="A115" s="41">
        <v>7</v>
      </c>
      <c r="B115" s="42">
        <v>45009</v>
      </c>
      <c r="C115" s="18" t="s">
        <v>166</v>
      </c>
      <c r="D115" s="18">
        <v>2</v>
      </c>
      <c r="E115" s="17">
        <v>87</v>
      </c>
      <c r="F115" s="17">
        <v>1131</v>
      </c>
      <c r="G115" s="17">
        <v>747</v>
      </c>
      <c r="H115" s="23">
        <f t="shared" si="1"/>
        <v>1.5140562248995983</v>
      </c>
    </row>
    <row r="116" spans="1:8" x14ac:dyDescent="0.3">
      <c r="A116" s="41">
        <v>7</v>
      </c>
      <c r="B116" s="42">
        <v>45009</v>
      </c>
      <c r="C116" s="18" t="s">
        <v>173</v>
      </c>
      <c r="D116" s="18">
        <v>3</v>
      </c>
      <c r="E116" s="17">
        <v>87</v>
      </c>
      <c r="F116" s="17">
        <v>6558</v>
      </c>
      <c r="G116" s="17">
        <v>6180</v>
      </c>
      <c r="H116" s="23">
        <f t="shared" si="1"/>
        <v>1.0611650485436894</v>
      </c>
    </row>
    <row r="117" spans="1:8" x14ac:dyDescent="0.3">
      <c r="A117" s="41">
        <v>7</v>
      </c>
      <c r="B117" s="42">
        <v>45009</v>
      </c>
      <c r="C117" s="18" t="s">
        <v>115</v>
      </c>
      <c r="D117" s="18">
        <v>4</v>
      </c>
      <c r="E117" s="17">
        <v>87</v>
      </c>
      <c r="F117" s="17">
        <v>2367</v>
      </c>
      <c r="G117" s="17">
        <v>2908</v>
      </c>
      <c r="H117" s="23">
        <f t="shared" si="1"/>
        <v>0.81396148555708392</v>
      </c>
    </row>
    <row r="118" spans="1:8" x14ac:dyDescent="0.3">
      <c r="A118" s="41">
        <v>7</v>
      </c>
      <c r="B118" s="42">
        <v>45009</v>
      </c>
      <c r="C118" s="18" t="s">
        <v>146</v>
      </c>
      <c r="D118" s="18">
        <v>5</v>
      </c>
      <c r="E118" s="17">
        <v>87</v>
      </c>
      <c r="F118" s="17">
        <v>993</v>
      </c>
      <c r="G118" s="17">
        <v>1236</v>
      </c>
      <c r="H118" s="23">
        <f t="shared" si="1"/>
        <v>0.80339805825242716</v>
      </c>
    </row>
    <row r="119" spans="1:8" x14ac:dyDescent="0.3">
      <c r="A119" s="41">
        <v>7</v>
      </c>
      <c r="B119" s="42">
        <v>45009</v>
      </c>
      <c r="C119" s="18" t="s">
        <v>109</v>
      </c>
      <c r="D119" s="18">
        <v>6</v>
      </c>
      <c r="E119" s="17">
        <v>87</v>
      </c>
      <c r="F119" s="17">
        <v>4328</v>
      </c>
      <c r="G119" s="17">
        <v>4288</v>
      </c>
      <c r="H119" s="23">
        <f t="shared" si="1"/>
        <v>1.0093283582089552</v>
      </c>
    </row>
    <row r="120" spans="1:8" x14ac:dyDescent="0.3">
      <c r="A120" s="41">
        <v>7</v>
      </c>
      <c r="B120" s="42">
        <v>45009</v>
      </c>
      <c r="C120" s="18" t="s">
        <v>174</v>
      </c>
      <c r="D120" s="18">
        <v>7</v>
      </c>
      <c r="E120" s="17">
        <v>44</v>
      </c>
      <c r="F120" s="17">
        <v>772</v>
      </c>
      <c r="G120" s="17">
        <v>738</v>
      </c>
      <c r="H120" s="23">
        <f t="shared" si="1"/>
        <v>1.046070460704607</v>
      </c>
    </row>
    <row r="121" spans="1:8" x14ac:dyDescent="0.3">
      <c r="A121" s="41">
        <v>7</v>
      </c>
      <c r="B121" s="42">
        <v>45009</v>
      </c>
      <c r="C121" s="18" t="s">
        <v>175</v>
      </c>
      <c r="D121" s="18">
        <v>8</v>
      </c>
      <c r="E121" s="17">
        <v>38</v>
      </c>
      <c r="F121" s="17">
        <v>500</v>
      </c>
      <c r="G121" s="17">
        <v>886</v>
      </c>
      <c r="H121" s="23">
        <f t="shared" si="1"/>
        <v>0.56433408577878108</v>
      </c>
    </row>
    <row r="122" spans="1:8" x14ac:dyDescent="0.3">
      <c r="A122" s="41">
        <v>7</v>
      </c>
      <c r="B122" s="42">
        <v>45009</v>
      </c>
      <c r="C122" s="18" t="s">
        <v>112</v>
      </c>
      <c r="D122" s="18">
        <v>9</v>
      </c>
      <c r="E122" s="17">
        <v>37</v>
      </c>
      <c r="F122" s="17">
        <v>382</v>
      </c>
      <c r="G122" s="17">
        <v>409</v>
      </c>
      <c r="H122" s="23">
        <f t="shared" si="1"/>
        <v>0.93398533007334961</v>
      </c>
    </row>
    <row r="123" spans="1:8" x14ac:dyDescent="0.3">
      <c r="A123" s="41">
        <v>7</v>
      </c>
      <c r="B123" s="42">
        <v>45009</v>
      </c>
      <c r="C123" s="18" t="s">
        <v>113</v>
      </c>
      <c r="D123" s="18">
        <v>10</v>
      </c>
      <c r="E123" s="17">
        <v>33</v>
      </c>
      <c r="F123" s="17">
        <v>353</v>
      </c>
      <c r="G123" s="17">
        <v>599</v>
      </c>
      <c r="H123" s="23">
        <f t="shared" si="1"/>
        <v>0.58931552587646074</v>
      </c>
    </row>
    <row r="124" spans="1:8" x14ac:dyDescent="0.3">
      <c r="A124" s="41">
        <v>7</v>
      </c>
      <c r="B124" s="42">
        <v>45009</v>
      </c>
      <c r="C124" s="18" t="s">
        <v>176</v>
      </c>
      <c r="D124" s="18">
        <v>11</v>
      </c>
      <c r="E124" s="17">
        <v>25</v>
      </c>
      <c r="F124" s="17">
        <v>261</v>
      </c>
      <c r="G124" s="17">
        <v>254</v>
      </c>
      <c r="H124" s="23">
        <f t="shared" si="1"/>
        <v>1.0275590551181102</v>
      </c>
    </row>
    <row r="125" spans="1:8" x14ac:dyDescent="0.3">
      <c r="A125" s="41">
        <v>7</v>
      </c>
      <c r="B125" s="42">
        <v>45009</v>
      </c>
      <c r="C125" s="18" t="s">
        <v>177</v>
      </c>
      <c r="D125" s="18">
        <v>12</v>
      </c>
      <c r="E125" s="17">
        <v>22</v>
      </c>
      <c r="F125" s="17">
        <v>268</v>
      </c>
      <c r="G125" s="17">
        <v>339</v>
      </c>
      <c r="H125" s="23">
        <f t="shared" si="1"/>
        <v>0.79056047197640122</v>
      </c>
    </row>
    <row r="126" spans="1:8" x14ac:dyDescent="0.3">
      <c r="A126" s="41">
        <v>7</v>
      </c>
      <c r="B126" s="42">
        <v>45009</v>
      </c>
      <c r="C126" s="18" t="s">
        <v>178</v>
      </c>
      <c r="D126" s="18">
        <v>13</v>
      </c>
      <c r="E126" s="17">
        <v>20</v>
      </c>
      <c r="F126" s="17">
        <v>216</v>
      </c>
      <c r="G126" s="17">
        <v>389</v>
      </c>
      <c r="H126" s="23">
        <f t="shared" si="1"/>
        <v>0.55526992287917742</v>
      </c>
    </row>
    <row r="127" spans="1:8" x14ac:dyDescent="0.3">
      <c r="A127" s="41">
        <v>7</v>
      </c>
      <c r="B127" s="42">
        <v>45009</v>
      </c>
      <c r="C127" s="18" t="s">
        <v>164</v>
      </c>
      <c r="D127" s="18">
        <v>14</v>
      </c>
      <c r="E127" s="17">
        <v>10</v>
      </c>
      <c r="F127" s="17">
        <v>27</v>
      </c>
      <c r="G127" s="17">
        <v>67</v>
      </c>
      <c r="H127" s="23">
        <f t="shared" si="1"/>
        <v>0.40298507462686567</v>
      </c>
    </row>
    <row r="128" spans="1:8" x14ac:dyDescent="0.3">
      <c r="A128" s="41">
        <v>7</v>
      </c>
      <c r="B128" s="42">
        <v>45009</v>
      </c>
      <c r="C128" s="18" t="s">
        <v>179</v>
      </c>
      <c r="D128" s="18">
        <v>15</v>
      </c>
      <c r="E128" s="17">
        <v>9</v>
      </c>
      <c r="F128" s="17">
        <v>109</v>
      </c>
      <c r="G128" s="17">
        <v>146</v>
      </c>
      <c r="H128" s="23">
        <f t="shared" si="1"/>
        <v>0.74657534246575341</v>
      </c>
    </row>
    <row r="129" spans="1:8" x14ac:dyDescent="0.3">
      <c r="A129" s="41">
        <v>7</v>
      </c>
      <c r="B129" s="42">
        <v>45009</v>
      </c>
      <c r="C129" s="18" t="s">
        <v>180</v>
      </c>
      <c r="D129" s="18">
        <v>16</v>
      </c>
      <c r="E129" s="17">
        <v>9</v>
      </c>
      <c r="F129" s="17">
        <v>35</v>
      </c>
      <c r="G129" s="17">
        <v>96</v>
      </c>
      <c r="H129" s="23">
        <f t="shared" si="1"/>
        <v>0.36458333333333331</v>
      </c>
    </row>
    <row r="130" spans="1:8" x14ac:dyDescent="0.3">
      <c r="A130" s="41">
        <v>7</v>
      </c>
      <c r="B130" s="42">
        <v>45009</v>
      </c>
      <c r="C130" s="18" t="s">
        <v>181</v>
      </c>
      <c r="D130" s="18">
        <v>17</v>
      </c>
      <c r="E130" s="17">
        <v>8</v>
      </c>
      <c r="F130" s="17">
        <v>38</v>
      </c>
      <c r="G130" s="17">
        <v>39</v>
      </c>
      <c r="H130" s="23">
        <f t="shared" ref="H130:H193" si="2">F130/G130</f>
        <v>0.97435897435897434</v>
      </c>
    </row>
    <row r="131" spans="1:8" x14ac:dyDescent="0.3">
      <c r="A131" s="41">
        <v>7</v>
      </c>
      <c r="B131" s="42">
        <v>45009</v>
      </c>
      <c r="C131" s="18" t="s">
        <v>182</v>
      </c>
      <c r="D131" s="18">
        <v>18</v>
      </c>
      <c r="E131" s="17">
        <v>6</v>
      </c>
      <c r="F131" s="17">
        <v>24</v>
      </c>
      <c r="G131" s="17">
        <v>34</v>
      </c>
      <c r="H131" s="23">
        <f t="shared" si="2"/>
        <v>0.70588235294117652</v>
      </c>
    </row>
    <row r="132" spans="1:8" x14ac:dyDescent="0.3">
      <c r="A132" s="41">
        <v>7</v>
      </c>
      <c r="B132" s="42">
        <v>45009</v>
      </c>
      <c r="C132" s="18" t="s">
        <v>183</v>
      </c>
      <c r="D132" s="18">
        <v>19</v>
      </c>
      <c r="E132" s="17">
        <v>6</v>
      </c>
      <c r="F132" s="17">
        <v>22</v>
      </c>
      <c r="G132" s="17">
        <v>46</v>
      </c>
      <c r="H132" s="23">
        <f t="shared" si="2"/>
        <v>0.47826086956521741</v>
      </c>
    </row>
    <row r="133" spans="1:8" x14ac:dyDescent="0.3">
      <c r="A133" s="41">
        <v>7</v>
      </c>
      <c r="B133" s="42">
        <v>45009</v>
      </c>
      <c r="C133" s="18" t="s">
        <v>184</v>
      </c>
      <c r="D133" s="18">
        <v>20</v>
      </c>
      <c r="E133" s="17">
        <v>5</v>
      </c>
      <c r="F133" s="17">
        <v>25</v>
      </c>
      <c r="G133" s="17">
        <v>50</v>
      </c>
      <c r="H133" s="23">
        <f t="shared" si="2"/>
        <v>0.5</v>
      </c>
    </row>
    <row r="134" spans="1:8" x14ac:dyDescent="0.3">
      <c r="A134" s="41">
        <v>7</v>
      </c>
      <c r="B134" s="42">
        <v>45009</v>
      </c>
      <c r="C134" s="18" t="s">
        <v>120</v>
      </c>
      <c r="D134" s="18">
        <v>21</v>
      </c>
      <c r="E134" s="17">
        <v>4</v>
      </c>
      <c r="F134" s="17">
        <v>26</v>
      </c>
      <c r="G134" s="17">
        <v>35</v>
      </c>
      <c r="H134" s="23">
        <f t="shared" si="2"/>
        <v>0.74285714285714288</v>
      </c>
    </row>
    <row r="135" spans="1:8" x14ac:dyDescent="0.3">
      <c r="A135" s="41">
        <v>7</v>
      </c>
      <c r="B135" s="42">
        <v>45009</v>
      </c>
      <c r="C135" s="18" t="s">
        <v>185</v>
      </c>
      <c r="D135" s="18">
        <v>22</v>
      </c>
      <c r="E135" s="17">
        <v>4</v>
      </c>
      <c r="F135" s="17">
        <v>7</v>
      </c>
      <c r="G135" s="17">
        <v>22</v>
      </c>
      <c r="H135" s="23">
        <f t="shared" si="2"/>
        <v>0.31818181818181818</v>
      </c>
    </row>
    <row r="136" spans="1:8" x14ac:dyDescent="0.3">
      <c r="A136" s="37">
        <v>8</v>
      </c>
      <c r="B136" s="38">
        <v>45016</v>
      </c>
      <c r="C136" s="18" t="s">
        <v>143</v>
      </c>
      <c r="D136" s="18">
        <v>1</v>
      </c>
      <c r="E136" s="17">
        <v>105</v>
      </c>
      <c r="F136" s="17">
        <v>7708</v>
      </c>
      <c r="G136" s="17">
        <v>8180</v>
      </c>
      <c r="H136" s="23">
        <f t="shared" si="2"/>
        <v>0.94229828850855746</v>
      </c>
    </row>
    <row r="137" spans="1:8" x14ac:dyDescent="0.3">
      <c r="A137" s="37">
        <v>8</v>
      </c>
      <c r="B137" s="38">
        <v>45016</v>
      </c>
      <c r="C137" s="18" t="s">
        <v>110</v>
      </c>
      <c r="D137" s="18">
        <v>2</v>
      </c>
      <c r="E137" s="17">
        <v>105</v>
      </c>
      <c r="F137" s="17">
        <v>5513</v>
      </c>
      <c r="G137" s="17">
        <v>5294</v>
      </c>
      <c r="H137" s="23">
        <f t="shared" si="2"/>
        <v>1.0413675859463543</v>
      </c>
    </row>
    <row r="138" spans="1:8" x14ac:dyDescent="0.3">
      <c r="A138" s="37">
        <v>8</v>
      </c>
      <c r="B138" s="38">
        <v>45016</v>
      </c>
      <c r="C138" s="18" t="s">
        <v>166</v>
      </c>
      <c r="D138" s="18">
        <v>3</v>
      </c>
      <c r="E138" s="17">
        <v>105</v>
      </c>
      <c r="F138" s="17">
        <v>4199</v>
      </c>
      <c r="G138" s="17">
        <v>2756</v>
      </c>
      <c r="H138" s="23">
        <f t="shared" si="2"/>
        <v>1.5235849056603774</v>
      </c>
    </row>
    <row r="139" spans="1:8" x14ac:dyDescent="0.3">
      <c r="A139" s="37">
        <v>8</v>
      </c>
      <c r="B139" s="38">
        <v>45016</v>
      </c>
      <c r="C139" s="18" t="s">
        <v>109</v>
      </c>
      <c r="D139" s="18">
        <v>4</v>
      </c>
      <c r="E139" s="17">
        <v>105</v>
      </c>
      <c r="F139" s="17">
        <v>2644</v>
      </c>
      <c r="G139" s="17">
        <v>2519</v>
      </c>
      <c r="H139" s="23">
        <f t="shared" si="2"/>
        <v>1.0496228662167526</v>
      </c>
    </row>
    <row r="140" spans="1:8" x14ac:dyDescent="0.3">
      <c r="A140" s="37">
        <v>8</v>
      </c>
      <c r="B140" s="38">
        <v>45016</v>
      </c>
      <c r="C140" s="18" t="s">
        <v>186</v>
      </c>
      <c r="D140" s="18">
        <v>5</v>
      </c>
      <c r="E140" s="17">
        <v>105</v>
      </c>
      <c r="F140" s="17">
        <v>4573</v>
      </c>
      <c r="G140" s="17">
        <v>3238</v>
      </c>
      <c r="H140" s="23">
        <f t="shared" si="2"/>
        <v>1.4122915379864114</v>
      </c>
    </row>
    <row r="141" spans="1:8" x14ac:dyDescent="0.3">
      <c r="A141" s="37">
        <v>8</v>
      </c>
      <c r="B141" s="38">
        <v>45016</v>
      </c>
      <c r="C141" s="18" t="s">
        <v>187</v>
      </c>
      <c r="D141" s="18">
        <v>6</v>
      </c>
      <c r="E141" s="17">
        <v>84</v>
      </c>
      <c r="F141" s="17">
        <v>2984</v>
      </c>
      <c r="G141" s="17">
        <v>3004</v>
      </c>
      <c r="H141" s="23">
        <f t="shared" si="2"/>
        <v>0.99334221038615178</v>
      </c>
    </row>
    <row r="142" spans="1:8" x14ac:dyDescent="0.3">
      <c r="A142" s="37">
        <v>8</v>
      </c>
      <c r="B142" s="38">
        <v>45016</v>
      </c>
      <c r="C142" s="18" t="s">
        <v>188</v>
      </c>
      <c r="D142" s="18">
        <v>7</v>
      </c>
      <c r="E142" s="17">
        <v>78</v>
      </c>
      <c r="F142" s="17">
        <v>894</v>
      </c>
      <c r="G142" s="17">
        <v>1193</v>
      </c>
      <c r="H142" s="23">
        <f t="shared" si="2"/>
        <v>0.74937133277451806</v>
      </c>
    </row>
    <row r="143" spans="1:8" x14ac:dyDescent="0.3">
      <c r="A143" s="37">
        <v>8</v>
      </c>
      <c r="B143" s="38">
        <v>45016</v>
      </c>
      <c r="C143" s="18" t="s">
        <v>189</v>
      </c>
      <c r="D143" s="18">
        <v>8</v>
      </c>
      <c r="E143" s="17">
        <v>77</v>
      </c>
      <c r="F143" s="17">
        <v>1531</v>
      </c>
      <c r="G143" s="17">
        <v>1411</v>
      </c>
      <c r="H143" s="23">
        <f t="shared" si="2"/>
        <v>1.0850460666194188</v>
      </c>
    </row>
    <row r="144" spans="1:8" x14ac:dyDescent="0.3">
      <c r="A144" s="37">
        <v>8</v>
      </c>
      <c r="B144" s="38">
        <v>45016</v>
      </c>
      <c r="C144" s="18" t="s">
        <v>190</v>
      </c>
      <c r="D144" s="18">
        <v>9</v>
      </c>
      <c r="E144" s="17">
        <v>56</v>
      </c>
      <c r="F144" s="17">
        <v>1190</v>
      </c>
      <c r="G144" s="17">
        <v>1564</v>
      </c>
      <c r="H144" s="23">
        <f t="shared" si="2"/>
        <v>0.76086956521739135</v>
      </c>
    </row>
    <row r="145" spans="1:10" x14ac:dyDescent="0.3">
      <c r="A145" s="37">
        <v>8</v>
      </c>
      <c r="B145" s="38">
        <v>45016</v>
      </c>
      <c r="C145" s="18" t="s">
        <v>191</v>
      </c>
      <c r="D145" s="18">
        <v>10</v>
      </c>
      <c r="E145" s="17">
        <v>41</v>
      </c>
      <c r="F145" s="17">
        <v>342</v>
      </c>
      <c r="G145" s="17">
        <v>457</v>
      </c>
      <c r="H145" s="23">
        <f t="shared" si="2"/>
        <v>0.74835886214442016</v>
      </c>
    </row>
    <row r="146" spans="1:10" x14ac:dyDescent="0.3">
      <c r="A146" s="37">
        <v>8</v>
      </c>
      <c r="B146" s="38">
        <v>45016</v>
      </c>
      <c r="C146" s="18" t="s">
        <v>192</v>
      </c>
      <c r="D146" s="18">
        <v>11</v>
      </c>
      <c r="E146" s="17">
        <v>34</v>
      </c>
      <c r="F146" s="17">
        <v>198</v>
      </c>
      <c r="G146" s="17">
        <v>368</v>
      </c>
      <c r="H146" s="23">
        <f t="shared" si="2"/>
        <v>0.53804347826086951</v>
      </c>
    </row>
    <row r="147" spans="1:10" x14ac:dyDescent="0.3">
      <c r="A147" s="37">
        <v>8</v>
      </c>
      <c r="B147" s="38">
        <v>45016</v>
      </c>
      <c r="C147" s="18" t="s">
        <v>193</v>
      </c>
      <c r="D147" s="18">
        <v>12</v>
      </c>
      <c r="E147" s="17">
        <v>29</v>
      </c>
      <c r="F147" s="17">
        <v>112</v>
      </c>
      <c r="G147" s="17">
        <v>203</v>
      </c>
      <c r="H147" s="23">
        <f t="shared" si="2"/>
        <v>0.55172413793103448</v>
      </c>
    </row>
    <row r="148" spans="1:10" x14ac:dyDescent="0.3">
      <c r="A148" s="37">
        <v>8</v>
      </c>
      <c r="B148" s="38">
        <v>45016</v>
      </c>
      <c r="C148" s="18" t="s">
        <v>194</v>
      </c>
      <c r="D148" s="18">
        <v>13</v>
      </c>
      <c r="E148" s="17">
        <v>19</v>
      </c>
      <c r="F148" s="17">
        <v>429</v>
      </c>
      <c r="G148" s="17">
        <v>455</v>
      </c>
      <c r="H148" s="23">
        <f t="shared" si="2"/>
        <v>0.94285714285714284</v>
      </c>
    </row>
    <row r="149" spans="1:10" x14ac:dyDescent="0.3">
      <c r="A149" s="37">
        <v>8</v>
      </c>
      <c r="B149" s="38">
        <v>45016</v>
      </c>
      <c r="C149" s="18" t="s">
        <v>195</v>
      </c>
      <c r="D149" s="18">
        <v>14</v>
      </c>
      <c r="E149" s="17">
        <v>17</v>
      </c>
      <c r="F149" s="17">
        <v>277</v>
      </c>
      <c r="G149" s="17">
        <v>321</v>
      </c>
      <c r="H149" s="23">
        <f t="shared" si="2"/>
        <v>0.86292834890965731</v>
      </c>
    </row>
    <row r="150" spans="1:10" x14ac:dyDescent="0.3">
      <c r="A150" s="37">
        <v>8</v>
      </c>
      <c r="B150" s="38">
        <v>45016</v>
      </c>
      <c r="C150" s="18" t="s">
        <v>105</v>
      </c>
      <c r="D150" s="18">
        <v>15</v>
      </c>
      <c r="E150" s="17">
        <v>14</v>
      </c>
      <c r="F150" s="17">
        <v>166</v>
      </c>
      <c r="G150" s="17">
        <v>71</v>
      </c>
      <c r="H150" s="23">
        <f t="shared" si="2"/>
        <v>2.3380281690140845</v>
      </c>
      <c r="J150" s="17" t="s">
        <v>196</v>
      </c>
    </row>
    <row r="151" spans="1:10" x14ac:dyDescent="0.3">
      <c r="A151" s="37">
        <v>8</v>
      </c>
      <c r="B151" s="38">
        <v>45016</v>
      </c>
      <c r="C151" s="18" t="s">
        <v>197</v>
      </c>
      <c r="D151" s="18">
        <v>16</v>
      </c>
      <c r="E151" s="17">
        <v>12</v>
      </c>
      <c r="F151" s="17">
        <v>110</v>
      </c>
      <c r="G151" s="17">
        <v>138</v>
      </c>
      <c r="H151" s="23">
        <f t="shared" si="2"/>
        <v>0.79710144927536231</v>
      </c>
    </row>
    <row r="152" spans="1:10" x14ac:dyDescent="0.3">
      <c r="A152" s="37">
        <v>8</v>
      </c>
      <c r="B152" s="38">
        <v>45016</v>
      </c>
      <c r="C152" s="18" t="s">
        <v>175</v>
      </c>
      <c r="D152" s="18">
        <v>17</v>
      </c>
      <c r="E152" s="17">
        <v>10</v>
      </c>
      <c r="F152" s="17">
        <v>29</v>
      </c>
      <c r="G152" s="17">
        <v>100</v>
      </c>
      <c r="H152" s="23">
        <f t="shared" si="2"/>
        <v>0.28999999999999998</v>
      </c>
    </row>
    <row r="153" spans="1:10" x14ac:dyDescent="0.3">
      <c r="A153" s="37">
        <v>8</v>
      </c>
      <c r="B153" s="38">
        <v>45016</v>
      </c>
      <c r="C153" s="18" t="s">
        <v>198</v>
      </c>
      <c r="D153" s="18">
        <v>18</v>
      </c>
      <c r="E153" s="17">
        <v>9</v>
      </c>
      <c r="F153" s="17">
        <v>63</v>
      </c>
      <c r="G153" s="17">
        <v>76</v>
      </c>
      <c r="H153" s="23">
        <f t="shared" si="2"/>
        <v>0.82894736842105265</v>
      </c>
    </row>
    <row r="154" spans="1:10" x14ac:dyDescent="0.3">
      <c r="A154" s="37">
        <v>8</v>
      </c>
      <c r="B154" s="38">
        <v>45016</v>
      </c>
      <c r="C154" s="18" t="s">
        <v>199</v>
      </c>
      <c r="D154" s="18">
        <v>19</v>
      </c>
      <c r="E154" s="17">
        <v>8</v>
      </c>
      <c r="F154" s="17">
        <v>39</v>
      </c>
      <c r="G154" s="17">
        <v>80</v>
      </c>
      <c r="H154" s="23">
        <f t="shared" si="2"/>
        <v>0.48749999999999999</v>
      </c>
    </row>
    <row r="155" spans="1:10" x14ac:dyDescent="0.3">
      <c r="A155" s="37">
        <v>8</v>
      </c>
      <c r="B155" s="38">
        <v>45016</v>
      </c>
      <c r="C155" s="18" t="s">
        <v>200</v>
      </c>
      <c r="D155" s="18">
        <v>20</v>
      </c>
      <c r="E155" s="17">
        <v>4</v>
      </c>
      <c r="F155" s="17">
        <v>29</v>
      </c>
      <c r="G155" s="17">
        <v>37</v>
      </c>
      <c r="H155" s="23">
        <f t="shared" si="2"/>
        <v>0.78378378378378377</v>
      </c>
    </row>
    <row r="156" spans="1:10" x14ac:dyDescent="0.3">
      <c r="A156" s="37">
        <v>8</v>
      </c>
      <c r="B156" s="38">
        <v>45016</v>
      </c>
      <c r="C156" s="18" t="s">
        <v>201</v>
      </c>
      <c r="D156" s="18">
        <v>21</v>
      </c>
      <c r="E156" s="17">
        <v>4</v>
      </c>
      <c r="F156" s="17">
        <v>11</v>
      </c>
      <c r="G156" s="17">
        <v>22</v>
      </c>
      <c r="H156" s="23">
        <f t="shared" si="2"/>
        <v>0.5</v>
      </c>
    </row>
    <row r="157" spans="1:10" x14ac:dyDescent="0.3">
      <c r="A157" s="37">
        <v>8</v>
      </c>
      <c r="B157" s="38">
        <v>45016</v>
      </c>
      <c r="C157" s="18" t="s">
        <v>202</v>
      </c>
      <c r="D157" s="18">
        <v>22</v>
      </c>
      <c r="E157" s="17">
        <v>2</v>
      </c>
      <c r="F157" s="17">
        <v>4</v>
      </c>
      <c r="G157" s="17">
        <v>8</v>
      </c>
      <c r="H157" s="23">
        <f t="shared" si="2"/>
        <v>0.5</v>
      </c>
    </row>
    <row r="158" spans="1:10" x14ac:dyDescent="0.3">
      <c r="A158" s="41">
        <v>9</v>
      </c>
      <c r="B158" s="42">
        <v>45023</v>
      </c>
      <c r="C158" s="18" t="s">
        <v>140</v>
      </c>
      <c r="D158" s="18">
        <v>1</v>
      </c>
      <c r="E158" s="17">
        <v>79</v>
      </c>
      <c r="F158" s="17">
        <v>5064</v>
      </c>
      <c r="G158" s="17">
        <v>3799</v>
      </c>
      <c r="H158" s="23">
        <f t="shared" si="2"/>
        <v>1.3329823637799421</v>
      </c>
    </row>
    <row r="159" spans="1:10" x14ac:dyDescent="0.3">
      <c r="A159" s="41">
        <v>9</v>
      </c>
      <c r="B159" s="42">
        <v>45023</v>
      </c>
      <c r="C159" s="18" t="s">
        <v>146</v>
      </c>
      <c r="D159" s="18">
        <v>2</v>
      </c>
      <c r="E159" s="17">
        <v>79</v>
      </c>
      <c r="F159" s="17">
        <v>1279</v>
      </c>
      <c r="G159" s="17">
        <v>683</v>
      </c>
      <c r="H159" s="23">
        <f t="shared" si="2"/>
        <v>1.8726207906295753</v>
      </c>
    </row>
    <row r="160" spans="1:10" x14ac:dyDescent="0.3">
      <c r="A160" s="41">
        <v>9</v>
      </c>
      <c r="B160" s="42">
        <v>45023</v>
      </c>
      <c r="C160" s="18" t="s">
        <v>142</v>
      </c>
      <c r="D160" s="18">
        <v>3</v>
      </c>
      <c r="E160" s="17">
        <v>79</v>
      </c>
      <c r="F160" s="17">
        <v>1802</v>
      </c>
      <c r="G160" s="17">
        <v>2039</v>
      </c>
      <c r="H160" s="23">
        <f t="shared" si="2"/>
        <v>0.88376655223148604</v>
      </c>
    </row>
    <row r="161" spans="1:8" x14ac:dyDescent="0.3">
      <c r="A161" s="41">
        <v>9</v>
      </c>
      <c r="B161" s="42">
        <v>45023</v>
      </c>
      <c r="C161" s="18" t="s">
        <v>111</v>
      </c>
      <c r="D161" s="18">
        <v>4</v>
      </c>
      <c r="E161" s="17">
        <v>79</v>
      </c>
      <c r="F161" s="17">
        <v>674</v>
      </c>
      <c r="G161" s="17">
        <v>455</v>
      </c>
      <c r="H161" s="23">
        <f t="shared" si="2"/>
        <v>1.4813186813186814</v>
      </c>
    </row>
    <row r="162" spans="1:8" x14ac:dyDescent="0.3">
      <c r="A162" s="41">
        <v>9</v>
      </c>
      <c r="B162" s="42">
        <v>45023</v>
      </c>
      <c r="C162" s="18" t="s">
        <v>109</v>
      </c>
      <c r="D162" s="18">
        <v>5</v>
      </c>
      <c r="E162" s="17">
        <v>79</v>
      </c>
      <c r="F162" s="17">
        <v>787</v>
      </c>
      <c r="G162" s="17">
        <v>720</v>
      </c>
      <c r="H162" s="23">
        <f t="shared" si="2"/>
        <v>1.0930555555555554</v>
      </c>
    </row>
    <row r="163" spans="1:8" x14ac:dyDescent="0.3">
      <c r="A163" s="41">
        <v>9</v>
      </c>
      <c r="B163" s="42">
        <v>45023</v>
      </c>
      <c r="C163" s="18" t="s">
        <v>113</v>
      </c>
      <c r="D163" s="18">
        <v>6</v>
      </c>
      <c r="E163" s="17">
        <v>79</v>
      </c>
      <c r="F163" s="17">
        <v>1463</v>
      </c>
      <c r="G163" s="17">
        <v>1455</v>
      </c>
      <c r="H163" s="23">
        <f t="shared" si="2"/>
        <v>1.0054982817869416</v>
      </c>
    </row>
    <row r="164" spans="1:8" x14ac:dyDescent="0.3">
      <c r="A164" s="41">
        <v>9</v>
      </c>
      <c r="B164" s="42">
        <v>45023</v>
      </c>
      <c r="C164" s="18" t="s">
        <v>203</v>
      </c>
      <c r="D164" s="18">
        <v>7</v>
      </c>
      <c r="E164" s="17">
        <v>79</v>
      </c>
      <c r="F164" s="17">
        <v>873</v>
      </c>
      <c r="G164" s="17">
        <v>728</v>
      </c>
      <c r="H164" s="23">
        <f t="shared" si="2"/>
        <v>1.1991758241758241</v>
      </c>
    </row>
    <row r="165" spans="1:8" x14ac:dyDescent="0.3">
      <c r="A165" s="41">
        <v>9</v>
      </c>
      <c r="B165" s="42">
        <v>45023</v>
      </c>
      <c r="C165" s="18" t="s">
        <v>180</v>
      </c>
      <c r="D165" s="18">
        <v>8</v>
      </c>
      <c r="E165" s="17">
        <v>77</v>
      </c>
      <c r="F165" s="17">
        <v>1882</v>
      </c>
      <c r="G165" s="17">
        <v>1740</v>
      </c>
      <c r="H165" s="23">
        <f t="shared" si="2"/>
        <v>1.0816091954022988</v>
      </c>
    </row>
    <row r="166" spans="1:8" x14ac:dyDescent="0.3">
      <c r="A166" s="41">
        <v>9</v>
      </c>
      <c r="B166" s="42">
        <v>45023</v>
      </c>
      <c r="C166" s="18" t="s">
        <v>190</v>
      </c>
      <c r="D166" s="18">
        <v>9</v>
      </c>
      <c r="E166" s="17">
        <v>65</v>
      </c>
      <c r="F166" s="17">
        <v>1965</v>
      </c>
      <c r="G166" s="17">
        <v>2707</v>
      </c>
      <c r="H166" s="23">
        <f t="shared" si="2"/>
        <v>0.72589582563723676</v>
      </c>
    </row>
    <row r="167" spans="1:8" x14ac:dyDescent="0.3">
      <c r="A167" s="41">
        <v>9</v>
      </c>
      <c r="B167" s="42">
        <v>45023</v>
      </c>
      <c r="C167" s="18" t="s">
        <v>204</v>
      </c>
      <c r="D167" s="18">
        <v>10</v>
      </c>
      <c r="E167" s="17">
        <v>57</v>
      </c>
      <c r="F167" s="17">
        <v>269</v>
      </c>
      <c r="G167" s="17">
        <v>550</v>
      </c>
      <c r="H167" s="23">
        <f t="shared" si="2"/>
        <v>0.48909090909090908</v>
      </c>
    </row>
    <row r="168" spans="1:8" x14ac:dyDescent="0.3">
      <c r="A168" s="41">
        <v>9</v>
      </c>
      <c r="B168" s="42">
        <v>45023</v>
      </c>
      <c r="C168" s="18" t="s">
        <v>205</v>
      </c>
      <c r="D168" s="18">
        <v>11</v>
      </c>
      <c r="E168" s="17">
        <v>36</v>
      </c>
      <c r="F168" s="17">
        <v>401</v>
      </c>
      <c r="G168" s="17">
        <v>425</v>
      </c>
      <c r="H168" s="23">
        <f t="shared" si="2"/>
        <v>0.94352941176470584</v>
      </c>
    </row>
    <row r="169" spans="1:8" x14ac:dyDescent="0.3">
      <c r="A169" s="41">
        <v>9</v>
      </c>
      <c r="B169" s="42">
        <v>45023</v>
      </c>
      <c r="C169" s="18" t="s">
        <v>147</v>
      </c>
      <c r="D169" s="18">
        <v>12</v>
      </c>
      <c r="E169" s="17">
        <v>35</v>
      </c>
      <c r="F169" s="17">
        <v>896</v>
      </c>
      <c r="G169" s="17">
        <v>1132</v>
      </c>
      <c r="H169" s="23">
        <f t="shared" si="2"/>
        <v>0.79151943462897523</v>
      </c>
    </row>
    <row r="170" spans="1:8" x14ac:dyDescent="0.3">
      <c r="A170" s="41">
        <v>9</v>
      </c>
      <c r="B170" s="42">
        <v>45023</v>
      </c>
      <c r="C170" s="18" t="s">
        <v>206</v>
      </c>
      <c r="D170" s="18">
        <v>13</v>
      </c>
      <c r="E170" s="17">
        <v>35</v>
      </c>
      <c r="F170" s="17">
        <v>868</v>
      </c>
      <c r="G170" s="17">
        <v>1104</v>
      </c>
      <c r="H170" s="23">
        <f t="shared" si="2"/>
        <v>0.78623188405797106</v>
      </c>
    </row>
    <row r="171" spans="1:8" x14ac:dyDescent="0.3">
      <c r="A171" s="41">
        <v>9</v>
      </c>
      <c r="B171" s="42">
        <v>45023</v>
      </c>
      <c r="C171" s="18" t="s">
        <v>125</v>
      </c>
      <c r="D171" s="18">
        <v>14</v>
      </c>
      <c r="E171" s="17">
        <v>23</v>
      </c>
      <c r="F171" s="17">
        <v>188</v>
      </c>
      <c r="G171" s="17">
        <v>281</v>
      </c>
      <c r="H171" s="23">
        <f t="shared" si="2"/>
        <v>0.66903914590747326</v>
      </c>
    </row>
    <row r="172" spans="1:8" x14ac:dyDescent="0.3">
      <c r="A172" s="41">
        <v>9</v>
      </c>
      <c r="B172" s="42">
        <v>45023</v>
      </c>
      <c r="C172" s="18" t="s">
        <v>112</v>
      </c>
      <c r="D172" s="18">
        <v>15</v>
      </c>
      <c r="E172" s="17">
        <v>23</v>
      </c>
      <c r="F172" s="17">
        <v>62</v>
      </c>
      <c r="G172" s="17">
        <v>124</v>
      </c>
      <c r="H172" s="23">
        <f t="shared" si="2"/>
        <v>0.5</v>
      </c>
    </row>
    <row r="173" spans="1:8" x14ac:dyDescent="0.3">
      <c r="A173" s="41">
        <v>9</v>
      </c>
      <c r="B173" s="42">
        <v>45023</v>
      </c>
      <c r="C173" s="18" t="s">
        <v>173</v>
      </c>
      <c r="D173" s="18">
        <v>16</v>
      </c>
      <c r="E173" s="17">
        <v>17</v>
      </c>
      <c r="F173" s="17">
        <v>490</v>
      </c>
      <c r="G173" s="17">
        <v>539</v>
      </c>
      <c r="H173" s="23">
        <f t="shared" si="2"/>
        <v>0.90909090909090906</v>
      </c>
    </row>
    <row r="174" spans="1:8" x14ac:dyDescent="0.3">
      <c r="A174" s="41">
        <v>9</v>
      </c>
      <c r="B174" s="42">
        <v>45023</v>
      </c>
      <c r="C174" s="18" t="s">
        <v>207</v>
      </c>
      <c r="D174" s="18">
        <v>17</v>
      </c>
      <c r="E174" s="17">
        <v>9</v>
      </c>
      <c r="F174" s="17">
        <v>93</v>
      </c>
      <c r="G174" s="17">
        <v>118</v>
      </c>
      <c r="H174" s="23">
        <f t="shared" si="2"/>
        <v>0.78813559322033899</v>
      </c>
    </row>
    <row r="175" spans="1:8" x14ac:dyDescent="0.3">
      <c r="A175" s="41">
        <v>9</v>
      </c>
      <c r="B175" s="42">
        <v>45023</v>
      </c>
      <c r="C175" s="18" t="s">
        <v>166</v>
      </c>
      <c r="D175" s="18">
        <v>18</v>
      </c>
      <c r="E175" s="17">
        <v>9</v>
      </c>
      <c r="F175" s="17">
        <v>13</v>
      </c>
      <c r="G175" s="17">
        <v>30</v>
      </c>
      <c r="H175" s="23">
        <f t="shared" si="2"/>
        <v>0.43333333333333335</v>
      </c>
    </row>
    <row r="176" spans="1:8" x14ac:dyDescent="0.3">
      <c r="A176" s="41">
        <v>9</v>
      </c>
      <c r="B176" s="42">
        <v>45023</v>
      </c>
      <c r="C176" s="18" t="s">
        <v>208</v>
      </c>
      <c r="D176" s="18">
        <v>19</v>
      </c>
      <c r="E176" s="17">
        <v>7</v>
      </c>
      <c r="F176" s="17">
        <v>43</v>
      </c>
      <c r="G176" s="17">
        <v>56</v>
      </c>
      <c r="H176" s="23">
        <f t="shared" si="2"/>
        <v>0.7678571428571429</v>
      </c>
    </row>
    <row r="177" spans="1:8" x14ac:dyDescent="0.3">
      <c r="A177" s="41">
        <v>9</v>
      </c>
      <c r="B177" s="42">
        <v>45023</v>
      </c>
      <c r="C177" s="18" t="s">
        <v>209</v>
      </c>
      <c r="D177" s="18">
        <v>20</v>
      </c>
      <c r="E177" s="17">
        <v>6</v>
      </c>
      <c r="F177" s="17">
        <v>26</v>
      </c>
      <c r="G177" s="17">
        <v>57</v>
      </c>
      <c r="H177" s="23">
        <f t="shared" si="2"/>
        <v>0.45614035087719296</v>
      </c>
    </row>
    <row r="178" spans="1:8" x14ac:dyDescent="0.3">
      <c r="A178" s="41">
        <v>9</v>
      </c>
      <c r="B178" s="42">
        <v>45023</v>
      </c>
      <c r="C178" s="18" t="s">
        <v>210</v>
      </c>
      <c r="D178" s="18">
        <v>21</v>
      </c>
      <c r="E178" s="17">
        <v>5</v>
      </c>
      <c r="F178" s="17">
        <v>33</v>
      </c>
      <c r="G178" s="17">
        <v>54</v>
      </c>
      <c r="H178" s="23">
        <f t="shared" si="2"/>
        <v>0.61111111111111116</v>
      </c>
    </row>
    <row r="179" spans="1:8" x14ac:dyDescent="0.3">
      <c r="A179" s="41">
        <v>9</v>
      </c>
      <c r="B179" s="42">
        <v>45023</v>
      </c>
      <c r="C179" s="18" t="s">
        <v>176</v>
      </c>
      <c r="D179" s="18">
        <v>22</v>
      </c>
      <c r="E179" s="17">
        <v>5</v>
      </c>
      <c r="F179" s="17">
        <v>33</v>
      </c>
      <c r="G179" s="17">
        <v>58</v>
      </c>
      <c r="H179" s="23">
        <f t="shared" si="2"/>
        <v>0.56896551724137934</v>
      </c>
    </row>
    <row r="180" spans="1:8" x14ac:dyDescent="0.3">
      <c r="A180" s="41">
        <v>9</v>
      </c>
      <c r="B180" s="42">
        <v>45023</v>
      </c>
      <c r="C180" s="18" t="s">
        <v>211</v>
      </c>
      <c r="D180" s="18">
        <v>23</v>
      </c>
      <c r="E180" s="17">
        <v>3</v>
      </c>
      <c r="F180" s="17">
        <v>8</v>
      </c>
      <c r="G180" s="17">
        <v>16</v>
      </c>
      <c r="H180" s="23">
        <f t="shared" si="2"/>
        <v>0.5</v>
      </c>
    </row>
    <row r="181" spans="1:8" x14ac:dyDescent="0.3">
      <c r="A181" s="41">
        <v>10</v>
      </c>
      <c r="B181" s="42">
        <v>45030</v>
      </c>
      <c r="C181" s="18" t="s">
        <v>109</v>
      </c>
      <c r="D181" s="18">
        <v>1</v>
      </c>
      <c r="E181" s="17">
        <v>72</v>
      </c>
      <c r="F181" s="17">
        <v>3409</v>
      </c>
      <c r="G181" s="17">
        <v>1810</v>
      </c>
      <c r="H181" s="23">
        <f t="shared" si="2"/>
        <v>1.8834254143646409</v>
      </c>
    </row>
    <row r="182" spans="1:8" x14ac:dyDescent="0.3">
      <c r="A182" s="41">
        <v>10</v>
      </c>
      <c r="B182" s="42">
        <v>45030</v>
      </c>
      <c r="C182" s="18" t="s">
        <v>212</v>
      </c>
      <c r="D182" s="18">
        <v>2</v>
      </c>
      <c r="E182" s="17">
        <v>72</v>
      </c>
      <c r="F182" s="17">
        <v>5607</v>
      </c>
      <c r="G182" s="17">
        <v>4876</v>
      </c>
      <c r="H182" s="23">
        <f t="shared" si="2"/>
        <v>1.1499179655455292</v>
      </c>
    </row>
    <row r="183" spans="1:8" x14ac:dyDescent="0.3">
      <c r="A183" s="41">
        <v>10</v>
      </c>
      <c r="B183" s="42">
        <v>45030</v>
      </c>
      <c r="C183" s="18" t="s">
        <v>140</v>
      </c>
      <c r="D183" s="18">
        <v>3</v>
      </c>
      <c r="E183" s="17">
        <v>72</v>
      </c>
      <c r="F183" s="17">
        <v>5503</v>
      </c>
      <c r="G183" s="17">
        <v>5582</v>
      </c>
      <c r="H183" s="23">
        <f t="shared" si="2"/>
        <v>0.98584736653529204</v>
      </c>
    </row>
    <row r="184" spans="1:8" x14ac:dyDescent="0.3">
      <c r="A184" s="41">
        <v>10</v>
      </c>
      <c r="B184" s="42">
        <v>45030</v>
      </c>
      <c r="C184" s="18" t="s">
        <v>105</v>
      </c>
      <c r="D184" s="18">
        <v>4</v>
      </c>
      <c r="E184" s="17">
        <v>53</v>
      </c>
      <c r="F184" s="17">
        <v>3289</v>
      </c>
      <c r="G184" s="17">
        <v>3547</v>
      </c>
      <c r="H184" s="23">
        <f t="shared" si="2"/>
        <v>0.92726247533126582</v>
      </c>
    </row>
    <row r="185" spans="1:8" x14ac:dyDescent="0.3">
      <c r="A185" s="41">
        <v>10</v>
      </c>
      <c r="B185" s="42">
        <v>45030</v>
      </c>
      <c r="C185" s="18" t="s">
        <v>166</v>
      </c>
      <c r="D185" s="18">
        <v>5</v>
      </c>
      <c r="E185" s="17">
        <v>53</v>
      </c>
      <c r="F185" s="17">
        <v>730</v>
      </c>
      <c r="G185" s="17">
        <v>693</v>
      </c>
      <c r="H185" s="23">
        <f t="shared" si="2"/>
        <v>1.0533910533910533</v>
      </c>
    </row>
    <row r="186" spans="1:8" x14ac:dyDescent="0.3">
      <c r="A186" s="41">
        <v>10</v>
      </c>
      <c r="B186" s="42">
        <v>45030</v>
      </c>
      <c r="C186" s="18" t="s">
        <v>213</v>
      </c>
      <c r="D186" s="18">
        <v>6</v>
      </c>
      <c r="E186" s="17">
        <v>47</v>
      </c>
      <c r="F186" s="17">
        <v>202</v>
      </c>
      <c r="G186" s="17">
        <v>452</v>
      </c>
      <c r="H186" s="23">
        <f t="shared" si="2"/>
        <v>0.44690265486725661</v>
      </c>
    </row>
    <row r="187" spans="1:8" x14ac:dyDescent="0.3">
      <c r="A187" s="41">
        <v>10</v>
      </c>
      <c r="B187" s="42">
        <v>45030</v>
      </c>
      <c r="C187" s="18" t="s">
        <v>115</v>
      </c>
      <c r="D187" s="18">
        <v>7</v>
      </c>
      <c r="E187" s="17">
        <v>35</v>
      </c>
      <c r="F187" s="17">
        <v>169</v>
      </c>
      <c r="G187" s="17">
        <v>315</v>
      </c>
      <c r="H187" s="23">
        <f t="shared" si="2"/>
        <v>0.53650793650793649</v>
      </c>
    </row>
    <row r="188" spans="1:8" x14ac:dyDescent="0.3">
      <c r="A188" s="41">
        <v>10</v>
      </c>
      <c r="B188" s="42">
        <v>45030</v>
      </c>
      <c r="C188" s="18" t="s">
        <v>173</v>
      </c>
      <c r="D188" s="18">
        <v>8</v>
      </c>
      <c r="E188" s="17">
        <v>19</v>
      </c>
      <c r="F188" s="17">
        <v>344</v>
      </c>
      <c r="G188" s="17">
        <v>327</v>
      </c>
      <c r="H188" s="23">
        <f t="shared" si="2"/>
        <v>1.0519877675840978</v>
      </c>
    </row>
    <row r="189" spans="1:8" x14ac:dyDescent="0.3">
      <c r="A189" s="41">
        <v>10</v>
      </c>
      <c r="B189" s="42">
        <v>45030</v>
      </c>
      <c r="C189" s="18" t="s">
        <v>214</v>
      </c>
      <c r="D189" s="18">
        <v>9</v>
      </c>
      <c r="E189" s="17">
        <v>19</v>
      </c>
      <c r="F189" s="17">
        <v>149</v>
      </c>
      <c r="G189" s="17">
        <v>229</v>
      </c>
      <c r="H189" s="23">
        <f t="shared" si="2"/>
        <v>0.6506550218340611</v>
      </c>
    </row>
    <row r="190" spans="1:8" x14ac:dyDescent="0.3">
      <c r="A190" s="41">
        <v>10</v>
      </c>
      <c r="B190" s="42">
        <v>45030</v>
      </c>
      <c r="C190" s="18" t="s">
        <v>215</v>
      </c>
      <c r="D190" s="18">
        <v>10</v>
      </c>
      <c r="E190" s="17">
        <v>18</v>
      </c>
      <c r="F190" s="17">
        <v>165</v>
      </c>
      <c r="G190" s="17">
        <v>157</v>
      </c>
      <c r="H190" s="23">
        <f t="shared" si="2"/>
        <v>1.0509554140127388</v>
      </c>
    </row>
    <row r="191" spans="1:8" x14ac:dyDescent="0.3">
      <c r="A191" s="41">
        <v>10</v>
      </c>
      <c r="B191" s="42">
        <v>45030</v>
      </c>
      <c r="C191" s="18" t="s">
        <v>216</v>
      </c>
      <c r="D191" s="18">
        <v>11</v>
      </c>
      <c r="E191" s="17">
        <v>17</v>
      </c>
      <c r="F191" s="17">
        <v>153</v>
      </c>
      <c r="G191" s="17">
        <v>250</v>
      </c>
      <c r="H191" s="23">
        <f t="shared" si="2"/>
        <v>0.61199999999999999</v>
      </c>
    </row>
    <row r="192" spans="1:8" x14ac:dyDescent="0.3">
      <c r="A192" s="41">
        <v>10</v>
      </c>
      <c r="B192" s="42">
        <v>45030</v>
      </c>
      <c r="C192" s="18" t="s">
        <v>217</v>
      </c>
      <c r="D192" s="18">
        <v>12</v>
      </c>
      <c r="E192" s="17">
        <v>15</v>
      </c>
      <c r="F192" s="17">
        <v>98</v>
      </c>
      <c r="G192" s="17">
        <v>174</v>
      </c>
      <c r="H192" s="23">
        <f t="shared" si="2"/>
        <v>0.56321839080459768</v>
      </c>
    </row>
    <row r="193" spans="1:8" x14ac:dyDescent="0.3">
      <c r="A193" s="41">
        <v>10</v>
      </c>
      <c r="B193" s="42">
        <v>45030</v>
      </c>
      <c r="C193" s="18" t="s">
        <v>218</v>
      </c>
      <c r="D193" s="18">
        <v>13</v>
      </c>
      <c r="E193" s="17">
        <v>15</v>
      </c>
      <c r="F193" s="17">
        <v>128</v>
      </c>
      <c r="G193" s="17">
        <v>172</v>
      </c>
      <c r="H193" s="23">
        <f t="shared" si="2"/>
        <v>0.7441860465116279</v>
      </c>
    </row>
    <row r="194" spans="1:8" x14ac:dyDescent="0.3">
      <c r="A194" s="41">
        <v>10</v>
      </c>
      <c r="B194" s="42">
        <v>45030</v>
      </c>
      <c r="C194" s="18" t="s">
        <v>219</v>
      </c>
      <c r="D194" s="18">
        <v>14</v>
      </c>
      <c r="E194" s="17">
        <v>13</v>
      </c>
      <c r="F194" s="17">
        <v>73</v>
      </c>
      <c r="G194" s="17">
        <v>125</v>
      </c>
      <c r="H194" s="23">
        <f t="shared" ref="H194:H257" si="3">F194/G194</f>
        <v>0.58399999999999996</v>
      </c>
    </row>
    <row r="195" spans="1:8" x14ac:dyDescent="0.3">
      <c r="A195" s="41">
        <v>10</v>
      </c>
      <c r="B195" s="42">
        <v>45030</v>
      </c>
      <c r="C195" s="18" t="s">
        <v>220</v>
      </c>
      <c r="D195" s="18">
        <v>15</v>
      </c>
      <c r="E195" s="17">
        <v>13</v>
      </c>
      <c r="F195" s="17">
        <v>165</v>
      </c>
      <c r="G195" s="17">
        <v>237</v>
      </c>
      <c r="H195" s="23">
        <f t="shared" si="3"/>
        <v>0.69620253164556967</v>
      </c>
    </row>
    <row r="196" spans="1:8" x14ac:dyDescent="0.3">
      <c r="A196" s="41">
        <v>10</v>
      </c>
      <c r="B196" s="42">
        <v>45030</v>
      </c>
      <c r="C196" s="18" t="s">
        <v>221</v>
      </c>
      <c r="D196" s="18">
        <v>16</v>
      </c>
      <c r="E196" s="17">
        <v>12</v>
      </c>
      <c r="F196" s="17">
        <v>69</v>
      </c>
      <c r="G196" s="17">
        <v>141</v>
      </c>
      <c r="H196" s="23">
        <f t="shared" si="3"/>
        <v>0.48936170212765956</v>
      </c>
    </row>
    <row r="197" spans="1:8" x14ac:dyDescent="0.3">
      <c r="A197" s="41">
        <v>10</v>
      </c>
      <c r="B197" s="42">
        <v>45030</v>
      </c>
      <c r="C197" s="18" t="s">
        <v>112</v>
      </c>
      <c r="D197" s="18">
        <v>17</v>
      </c>
      <c r="E197" s="17">
        <v>10</v>
      </c>
      <c r="F197" s="17">
        <v>36</v>
      </c>
      <c r="G197" s="17">
        <v>81</v>
      </c>
      <c r="H197" s="23">
        <f t="shared" si="3"/>
        <v>0.44444444444444442</v>
      </c>
    </row>
    <row r="198" spans="1:8" x14ac:dyDescent="0.3">
      <c r="A198" s="41">
        <v>10</v>
      </c>
      <c r="B198" s="42">
        <v>45030</v>
      </c>
      <c r="C198" s="18" t="s">
        <v>222</v>
      </c>
      <c r="D198" s="18">
        <v>18</v>
      </c>
      <c r="E198" s="17">
        <v>10</v>
      </c>
      <c r="F198" s="17">
        <v>76</v>
      </c>
      <c r="G198" s="17">
        <v>130</v>
      </c>
      <c r="H198" s="23">
        <f t="shared" si="3"/>
        <v>0.58461538461538465</v>
      </c>
    </row>
    <row r="199" spans="1:8" x14ac:dyDescent="0.3">
      <c r="A199" s="41">
        <v>10</v>
      </c>
      <c r="B199" s="42">
        <v>45030</v>
      </c>
      <c r="C199" s="18" t="s">
        <v>174</v>
      </c>
      <c r="D199" s="18">
        <v>19</v>
      </c>
      <c r="E199" s="17">
        <v>9</v>
      </c>
      <c r="F199" s="17">
        <v>81</v>
      </c>
      <c r="G199" s="17">
        <v>131</v>
      </c>
      <c r="H199" s="23">
        <f t="shared" si="3"/>
        <v>0.61832061068702293</v>
      </c>
    </row>
    <row r="200" spans="1:8" x14ac:dyDescent="0.3">
      <c r="A200" s="41">
        <v>10</v>
      </c>
      <c r="B200" s="42">
        <v>45030</v>
      </c>
      <c r="C200" s="18" t="s">
        <v>178</v>
      </c>
      <c r="D200" s="18">
        <v>20</v>
      </c>
      <c r="E200" s="17">
        <v>5</v>
      </c>
      <c r="F200" s="17">
        <v>17</v>
      </c>
      <c r="G200" s="17">
        <v>28</v>
      </c>
      <c r="H200" s="23">
        <f t="shared" si="3"/>
        <v>0.6071428571428571</v>
      </c>
    </row>
    <row r="201" spans="1:8" x14ac:dyDescent="0.3">
      <c r="A201" s="41">
        <v>10</v>
      </c>
      <c r="B201" s="42">
        <v>45030</v>
      </c>
      <c r="C201" s="18" t="s">
        <v>113</v>
      </c>
      <c r="D201" s="18">
        <v>21</v>
      </c>
      <c r="E201" s="17">
        <v>3</v>
      </c>
      <c r="F201" s="17">
        <v>7</v>
      </c>
      <c r="G201" s="17">
        <v>10</v>
      </c>
      <c r="H201" s="23">
        <f t="shared" si="3"/>
        <v>0.7</v>
      </c>
    </row>
    <row r="202" spans="1:8" x14ac:dyDescent="0.3">
      <c r="A202" s="41">
        <v>10</v>
      </c>
      <c r="B202" s="42">
        <v>45030</v>
      </c>
      <c r="C202" s="18" t="s">
        <v>211</v>
      </c>
      <c r="D202" s="18">
        <v>22</v>
      </c>
      <c r="E202" s="17">
        <v>2</v>
      </c>
      <c r="F202" s="17">
        <v>8</v>
      </c>
      <c r="G202" s="17">
        <v>15</v>
      </c>
      <c r="H202" s="23">
        <f t="shared" si="3"/>
        <v>0.53333333333333333</v>
      </c>
    </row>
    <row r="203" spans="1:8" x14ac:dyDescent="0.3">
      <c r="A203" s="37">
        <v>11</v>
      </c>
      <c r="B203" s="38">
        <v>45037</v>
      </c>
      <c r="C203" s="39" t="s">
        <v>140</v>
      </c>
      <c r="D203" s="18">
        <v>1</v>
      </c>
      <c r="E203" s="17">
        <v>35</v>
      </c>
      <c r="F203" s="17">
        <v>1513</v>
      </c>
      <c r="G203" s="17">
        <v>887</v>
      </c>
      <c r="H203" s="23">
        <f t="shared" si="3"/>
        <v>1.705749718151071</v>
      </c>
    </row>
    <row r="204" spans="1:8" x14ac:dyDescent="0.3">
      <c r="A204" s="41">
        <v>11</v>
      </c>
      <c r="B204" s="42">
        <v>45037</v>
      </c>
      <c r="C204" s="18" t="s">
        <v>112</v>
      </c>
      <c r="D204" s="18">
        <v>2</v>
      </c>
      <c r="E204" s="17">
        <v>35</v>
      </c>
      <c r="F204" s="17">
        <v>328</v>
      </c>
      <c r="G204" s="17">
        <v>66</v>
      </c>
      <c r="H204" s="23">
        <f t="shared" si="3"/>
        <v>4.9696969696969697</v>
      </c>
    </row>
    <row r="205" spans="1:8" x14ac:dyDescent="0.3">
      <c r="A205" s="41">
        <v>11</v>
      </c>
      <c r="B205" s="42">
        <v>45037</v>
      </c>
      <c r="C205" s="18" t="s">
        <v>113</v>
      </c>
      <c r="D205" s="18">
        <v>3</v>
      </c>
      <c r="E205" s="17">
        <v>35</v>
      </c>
      <c r="F205" s="17">
        <v>1709</v>
      </c>
      <c r="G205" s="17">
        <v>1478</v>
      </c>
      <c r="H205" s="23">
        <f t="shared" si="3"/>
        <v>1.1562922868741543</v>
      </c>
    </row>
    <row r="206" spans="1:8" x14ac:dyDescent="0.3">
      <c r="A206" s="41">
        <v>11</v>
      </c>
      <c r="B206" s="42">
        <v>45037</v>
      </c>
      <c r="C206" s="18" t="s">
        <v>186</v>
      </c>
      <c r="D206" s="18">
        <v>4</v>
      </c>
      <c r="E206" s="17">
        <v>35</v>
      </c>
      <c r="F206" s="17">
        <v>223</v>
      </c>
      <c r="G206" s="17">
        <v>205</v>
      </c>
      <c r="H206" s="23">
        <f t="shared" si="3"/>
        <v>1.0878048780487806</v>
      </c>
    </row>
    <row r="207" spans="1:8" x14ac:dyDescent="0.3">
      <c r="A207" s="41">
        <v>11</v>
      </c>
      <c r="B207" s="42">
        <v>45037</v>
      </c>
      <c r="C207" s="18" t="s">
        <v>223</v>
      </c>
      <c r="D207" s="18">
        <v>5</v>
      </c>
      <c r="E207" s="17">
        <v>35</v>
      </c>
      <c r="F207" s="17">
        <v>1246</v>
      </c>
      <c r="G207" s="17">
        <v>1259</v>
      </c>
      <c r="H207" s="23">
        <f t="shared" si="3"/>
        <v>0.98967434471803017</v>
      </c>
    </row>
    <row r="208" spans="1:8" x14ac:dyDescent="0.3">
      <c r="A208" s="41">
        <v>11</v>
      </c>
      <c r="B208" s="42">
        <v>45037</v>
      </c>
      <c r="C208" s="18" t="s">
        <v>224</v>
      </c>
      <c r="D208" s="18">
        <v>6</v>
      </c>
      <c r="E208" s="17">
        <v>35</v>
      </c>
      <c r="F208" s="17">
        <v>490</v>
      </c>
      <c r="G208" s="17">
        <v>313</v>
      </c>
      <c r="H208" s="23">
        <f t="shared" si="3"/>
        <v>1.5654952076677315</v>
      </c>
    </row>
    <row r="209" spans="1:8" x14ac:dyDescent="0.3">
      <c r="A209" s="41">
        <v>11</v>
      </c>
      <c r="B209" s="42">
        <v>45037</v>
      </c>
      <c r="C209" s="18" t="s">
        <v>225</v>
      </c>
      <c r="D209" s="18">
        <v>7</v>
      </c>
      <c r="E209" s="17">
        <v>35</v>
      </c>
      <c r="F209" s="17">
        <v>268</v>
      </c>
      <c r="G209" s="17">
        <v>290</v>
      </c>
      <c r="H209" s="23">
        <f t="shared" si="3"/>
        <v>0.92413793103448272</v>
      </c>
    </row>
    <row r="210" spans="1:8" x14ac:dyDescent="0.3">
      <c r="A210" s="41">
        <v>11</v>
      </c>
      <c r="B210" s="42">
        <v>45037</v>
      </c>
      <c r="C210" s="18" t="s">
        <v>226</v>
      </c>
      <c r="D210" s="18">
        <v>8</v>
      </c>
      <c r="E210" s="17">
        <v>35</v>
      </c>
      <c r="F210" s="17">
        <v>1211</v>
      </c>
      <c r="G210" s="17">
        <v>1508</v>
      </c>
      <c r="H210" s="23">
        <f t="shared" si="3"/>
        <v>0.80305039787798405</v>
      </c>
    </row>
    <row r="211" spans="1:8" x14ac:dyDescent="0.3">
      <c r="A211" s="41">
        <v>11</v>
      </c>
      <c r="B211" s="42">
        <v>45037</v>
      </c>
      <c r="C211" s="18" t="s">
        <v>111</v>
      </c>
      <c r="D211" s="18">
        <v>9</v>
      </c>
      <c r="E211" s="17">
        <v>20</v>
      </c>
      <c r="F211" s="17">
        <v>148</v>
      </c>
      <c r="G211" s="17">
        <v>176</v>
      </c>
      <c r="H211" s="23">
        <f t="shared" si="3"/>
        <v>0.84090909090909094</v>
      </c>
    </row>
    <row r="212" spans="1:8" x14ac:dyDescent="0.3">
      <c r="A212" s="41">
        <v>11</v>
      </c>
      <c r="B212" s="42">
        <v>45037</v>
      </c>
      <c r="C212" s="18" t="s">
        <v>143</v>
      </c>
      <c r="D212" s="18">
        <v>10</v>
      </c>
      <c r="E212" s="17">
        <v>18</v>
      </c>
      <c r="F212" s="17">
        <v>141</v>
      </c>
      <c r="G212" s="17">
        <v>189</v>
      </c>
      <c r="H212" s="23">
        <f t="shared" si="3"/>
        <v>0.74603174603174605</v>
      </c>
    </row>
    <row r="213" spans="1:8" x14ac:dyDescent="0.3">
      <c r="A213" s="41">
        <v>11</v>
      </c>
      <c r="B213" s="42">
        <v>45037</v>
      </c>
      <c r="C213" s="18" t="s">
        <v>130</v>
      </c>
      <c r="D213" s="18">
        <v>11</v>
      </c>
      <c r="E213" s="17">
        <v>17</v>
      </c>
      <c r="F213" s="17">
        <v>152</v>
      </c>
      <c r="G213" s="17">
        <v>183</v>
      </c>
      <c r="H213" s="23">
        <f t="shared" si="3"/>
        <v>0.8306010928961749</v>
      </c>
    </row>
    <row r="214" spans="1:8" x14ac:dyDescent="0.3">
      <c r="A214" s="41">
        <v>11</v>
      </c>
      <c r="B214" s="42">
        <v>45037</v>
      </c>
      <c r="C214" s="18" t="s">
        <v>227</v>
      </c>
      <c r="D214" s="18">
        <v>12</v>
      </c>
      <c r="E214" s="17">
        <v>14</v>
      </c>
      <c r="F214" s="17">
        <v>238</v>
      </c>
      <c r="G214" s="17">
        <v>177</v>
      </c>
      <c r="H214" s="23">
        <f t="shared" si="3"/>
        <v>1.344632768361582</v>
      </c>
    </row>
    <row r="215" spans="1:8" x14ac:dyDescent="0.3">
      <c r="A215" s="41">
        <v>11</v>
      </c>
      <c r="B215" s="42">
        <v>45037</v>
      </c>
      <c r="C215" s="18" t="s">
        <v>228</v>
      </c>
      <c r="D215" s="18">
        <v>13</v>
      </c>
      <c r="E215" s="17">
        <v>13</v>
      </c>
      <c r="F215" s="17">
        <v>77</v>
      </c>
      <c r="G215" s="17">
        <v>158</v>
      </c>
      <c r="H215" s="23">
        <f t="shared" si="3"/>
        <v>0.48734177215189872</v>
      </c>
    </row>
    <row r="216" spans="1:8" x14ac:dyDescent="0.3">
      <c r="A216" s="41">
        <v>11</v>
      </c>
      <c r="B216" s="42">
        <v>45037</v>
      </c>
      <c r="C216" s="18" t="s">
        <v>229</v>
      </c>
      <c r="D216" s="18">
        <v>14</v>
      </c>
      <c r="E216" s="17">
        <v>12</v>
      </c>
      <c r="F216" s="17">
        <v>117</v>
      </c>
      <c r="G216" s="17">
        <v>176</v>
      </c>
      <c r="H216" s="23">
        <f t="shared" si="3"/>
        <v>0.66477272727272729</v>
      </c>
    </row>
    <row r="217" spans="1:8" x14ac:dyDescent="0.3">
      <c r="A217" s="41">
        <v>11</v>
      </c>
      <c r="B217" s="42">
        <v>45037</v>
      </c>
      <c r="C217" s="18" t="s">
        <v>230</v>
      </c>
      <c r="D217" s="18">
        <v>15</v>
      </c>
      <c r="E217" s="17">
        <v>10</v>
      </c>
      <c r="F217" s="17">
        <v>32</v>
      </c>
      <c r="G217" s="17">
        <v>57</v>
      </c>
      <c r="H217" s="23">
        <f t="shared" si="3"/>
        <v>0.56140350877192979</v>
      </c>
    </row>
    <row r="218" spans="1:8" x14ac:dyDescent="0.3">
      <c r="A218" s="41">
        <v>11</v>
      </c>
      <c r="B218" s="42">
        <v>45037</v>
      </c>
      <c r="C218" s="18" t="s">
        <v>166</v>
      </c>
      <c r="D218" s="18">
        <v>16</v>
      </c>
      <c r="E218" s="17">
        <v>9</v>
      </c>
      <c r="F218" s="17">
        <v>64</v>
      </c>
      <c r="G218" s="17">
        <v>97</v>
      </c>
      <c r="H218" s="23">
        <f t="shared" si="3"/>
        <v>0.65979381443298968</v>
      </c>
    </row>
    <row r="219" spans="1:8" x14ac:dyDescent="0.3">
      <c r="A219" s="41">
        <v>11</v>
      </c>
      <c r="B219" s="42">
        <v>45037</v>
      </c>
      <c r="C219" s="18" t="s">
        <v>173</v>
      </c>
      <c r="D219" s="18">
        <v>17</v>
      </c>
      <c r="E219" s="17">
        <v>8</v>
      </c>
      <c r="F219" s="17">
        <v>26</v>
      </c>
      <c r="G219" s="17">
        <v>71</v>
      </c>
      <c r="H219" s="23">
        <f t="shared" si="3"/>
        <v>0.36619718309859156</v>
      </c>
    </row>
    <row r="220" spans="1:8" x14ac:dyDescent="0.3">
      <c r="A220" s="41">
        <v>11</v>
      </c>
      <c r="B220" s="42">
        <v>45037</v>
      </c>
      <c r="C220" s="18" t="s">
        <v>125</v>
      </c>
      <c r="D220" s="18">
        <v>18</v>
      </c>
      <c r="E220" s="17">
        <v>8</v>
      </c>
      <c r="F220" s="17">
        <v>78</v>
      </c>
      <c r="G220" s="17">
        <v>91</v>
      </c>
      <c r="H220" s="23">
        <f t="shared" si="3"/>
        <v>0.8571428571428571</v>
      </c>
    </row>
    <row r="221" spans="1:8" x14ac:dyDescent="0.3">
      <c r="A221" s="41">
        <v>11</v>
      </c>
      <c r="B221" s="42">
        <v>45037</v>
      </c>
      <c r="C221" s="18" t="s">
        <v>231</v>
      </c>
      <c r="D221" s="18">
        <v>19</v>
      </c>
      <c r="E221" s="17">
        <v>7</v>
      </c>
      <c r="F221" s="17">
        <v>19</v>
      </c>
      <c r="G221" s="17">
        <v>45</v>
      </c>
      <c r="H221" s="23">
        <f t="shared" si="3"/>
        <v>0.42222222222222222</v>
      </c>
    </row>
    <row r="222" spans="1:8" x14ac:dyDescent="0.3">
      <c r="A222" s="41">
        <v>11</v>
      </c>
      <c r="B222" s="42">
        <v>45037</v>
      </c>
      <c r="C222" s="18" t="s">
        <v>232</v>
      </c>
      <c r="D222" s="18">
        <v>20</v>
      </c>
      <c r="E222" s="17">
        <v>7</v>
      </c>
      <c r="F222" s="17">
        <v>57</v>
      </c>
      <c r="G222" s="17">
        <v>89</v>
      </c>
      <c r="H222" s="23">
        <f t="shared" si="3"/>
        <v>0.6404494382022472</v>
      </c>
    </row>
    <row r="223" spans="1:8" x14ac:dyDescent="0.3">
      <c r="A223" s="41">
        <v>11</v>
      </c>
      <c r="B223" s="42">
        <v>45037</v>
      </c>
      <c r="C223" s="18" t="s">
        <v>233</v>
      </c>
      <c r="D223" s="18">
        <v>21</v>
      </c>
      <c r="E223" s="17">
        <v>7</v>
      </c>
      <c r="F223" s="17">
        <v>30</v>
      </c>
      <c r="G223" s="17">
        <v>50</v>
      </c>
      <c r="H223" s="23">
        <f t="shared" si="3"/>
        <v>0.6</v>
      </c>
    </row>
    <row r="224" spans="1:8" x14ac:dyDescent="0.3">
      <c r="A224" s="41">
        <v>11</v>
      </c>
      <c r="B224" s="42">
        <v>45037</v>
      </c>
      <c r="C224" s="18" t="s">
        <v>183</v>
      </c>
      <c r="D224" s="18">
        <v>22</v>
      </c>
      <c r="E224" s="17">
        <v>5</v>
      </c>
      <c r="F224" s="17">
        <v>42</v>
      </c>
      <c r="G224" s="17">
        <v>65</v>
      </c>
      <c r="H224" s="23">
        <f t="shared" si="3"/>
        <v>0.64615384615384619</v>
      </c>
    </row>
    <row r="225" spans="1:8" x14ac:dyDescent="0.3">
      <c r="A225" s="41">
        <v>11</v>
      </c>
      <c r="B225" s="42">
        <v>45037</v>
      </c>
      <c r="C225" s="18" t="s">
        <v>234</v>
      </c>
      <c r="D225" s="18">
        <v>23</v>
      </c>
      <c r="E225" s="17">
        <v>2</v>
      </c>
      <c r="F225" s="17">
        <v>1</v>
      </c>
      <c r="G225" s="17">
        <v>7</v>
      </c>
      <c r="H225" s="23">
        <f t="shared" si="3"/>
        <v>0.14285714285714285</v>
      </c>
    </row>
    <row r="226" spans="1:8" x14ac:dyDescent="0.3">
      <c r="A226" s="18">
        <v>12</v>
      </c>
      <c r="B226" s="40">
        <v>45044</v>
      </c>
      <c r="C226" s="18" t="s">
        <v>122</v>
      </c>
      <c r="D226" s="18">
        <v>1</v>
      </c>
      <c r="E226" s="17">
        <v>80</v>
      </c>
      <c r="F226" s="17">
        <v>5541</v>
      </c>
      <c r="G226" s="17">
        <v>5310</v>
      </c>
      <c r="H226" s="23">
        <f t="shared" si="3"/>
        <v>1.043502824858757</v>
      </c>
    </row>
    <row r="227" spans="1:8" x14ac:dyDescent="0.3">
      <c r="A227" s="18">
        <v>12</v>
      </c>
      <c r="B227" s="40">
        <v>45044</v>
      </c>
      <c r="C227" s="18" t="s">
        <v>115</v>
      </c>
      <c r="D227" s="18">
        <v>2</v>
      </c>
      <c r="E227" s="17">
        <v>80</v>
      </c>
      <c r="F227" s="17">
        <v>1666</v>
      </c>
      <c r="G227" s="17">
        <v>1341</v>
      </c>
      <c r="H227" s="23">
        <f t="shared" si="3"/>
        <v>1.2423564504101416</v>
      </c>
    </row>
    <row r="228" spans="1:8" x14ac:dyDescent="0.3">
      <c r="A228" s="18">
        <v>12</v>
      </c>
      <c r="B228" s="40">
        <v>45044</v>
      </c>
      <c r="C228" s="18" t="s">
        <v>105</v>
      </c>
      <c r="D228" s="18">
        <v>3</v>
      </c>
      <c r="E228" s="17">
        <v>80</v>
      </c>
      <c r="F228" s="17">
        <v>3991</v>
      </c>
      <c r="G228" s="17">
        <v>3437</v>
      </c>
      <c r="H228" s="23">
        <f t="shared" si="3"/>
        <v>1.1611870817573464</v>
      </c>
    </row>
    <row r="229" spans="1:8" x14ac:dyDescent="0.3">
      <c r="A229" s="18">
        <v>12</v>
      </c>
      <c r="B229" s="40">
        <v>45044</v>
      </c>
      <c r="C229" s="18" t="s">
        <v>192</v>
      </c>
      <c r="D229" s="18">
        <v>4</v>
      </c>
      <c r="E229" s="17">
        <v>80</v>
      </c>
      <c r="F229" s="17">
        <v>526</v>
      </c>
      <c r="G229" s="17">
        <v>499</v>
      </c>
      <c r="H229" s="23">
        <f t="shared" si="3"/>
        <v>1.0541082164328657</v>
      </c>
    </row>
    <row r="230" spans="1:8" x14ac:dyDescent="0.3">
      <c r="A230" s="18">
        <v>12</v>
      </c>
      <c r="B230" s="40">
        <v>45044</v>
      </c>
      <c r="C230" s="18" t="s">
        <v>161</v>
      </c>
      <c r="D230" s="18">
        <v>5</v>
      </c>
      <c r="E230" s="17">
        <v>80</v>
      </c>
      <c r="F230" s="17">
        <v>5307</v>
      </c>
      <c r="G230" s="17">
        <v>4060</v>
      </c>
      <c r="H230" s="23">
        <f t="shared" si="3"/>
        <v>1.3071428571428572</v>
      </c>
    </row>
    <row r="231" spans="1:8" x14ac:dyDescent="0.3">
      <c r="A231" s="18">
        <v>12</v>
      </c>
      <c r="B231" s="40">
        <v>45044</v>
      </c>
      <c r="C231" s="18" t="s">
        <v>206</v>
      </c>
      <c r="D231" s="18">
        <v>6</v>
      </c>
      <c r="E231" s="17">
        <v>80</v>
      </c>
      <c r="F231" s="17">
        <v>2304</v>
      </c>
      <c r="G231" s="17">
        <v>1868</v>
      </c>
      <c r="H231" s="23">
        <f t="shared" si="3"/>
        <v>1.2334047109207709</v>
      </c>
    </row>
    <row r="232" spans="1:8" x14ac:dyDescent="0.3">
      <c r="A232" s="18">
        <v>12</v>
      </c>
      <c r="B232" s="40">
        <v>45044</v>
      </c>
      <c r="C232" s="18" t="s">
        <v>183</v>
      </c>
      <c r="D232" s="18">
        <v>7</v>
      </c>
      <c r="E232" s="17">
        <v>40</v>
      </c>
      <c r="F232" s="17">
        <v>1664</v>
      </c>
      <c r="G232" s="17">
        <v>2288</v>
      </c>
      <c r="H232" s="23">
        <f t="shared" si="3"/>
        <v>0.72727272727272729</v>
      </c>
    </row>
    <row r="233" spans="1:8" x14ac:dyDescent="0.3">
      <c r="A233" s="18">
        <v>12</v>
      </c>
      <c r="B233" s="40">
        <v>45044</v>
      </c>
      <c r="C233" s="18" t="s">
        <v>120</v>
      </c>
      <c r="D233" s="18">
        <v>8</v>
      </c>
      <c r="E233" s="17">
        <v>40</v>
      </c>
      <c r="F233" s="17">
        <v>1055</v>
      </c>
      <c r="G233" s="17">
        <v>1122</v>
      </c>
      <c r="H233" s="23">
        <f t="shared" si="3"/>
        <v>0.94028520499108736</v>
      </c>
    </row>
    <row r="234" spans="1:8" x14ac:dyDescent="0.3">
      <c r="A234" s="18">
        <v>12</v>
      </c>
      <c r="B234" s="40">
        <v>45044</v>
      </c>
      <c r="C234" s="18" t="s">
        <v>235</v>
      </c>
      <c r="D234" s="18">
        <v>9</v>
      </c>
      <c r="E234" s="17">
        <v>40</v>
      </c>
      <c r="F234" s="17">
        <v>173</v>
      </c>
      <c r="G234" s="17">
        <v>298</v>
      </c>
      <c r="H234" s="23">
        <f t="shared" si="3"/>
        <v>0.58053691275167785</v>
      </c>
    </row>
    <row r="235" spans="1:8" x14ac:dyDescent="0.3">
      <c r="A235" s="18">
        <v>12</v>
      </c>
      <c r="B235" s="40">
        <v>45044</v>
      </c>
      <c r="C235" s="18" t="s">
        <v>109</v>
      </c>
      <c r="D235" s="18">
        <v>10</v>
      </c>
      <c r="E235" s="17">
        <v>34</v>
      </c>
      <c r="F235" s="17">
        <v>471</v>
      </c>
      <c r="G235" s="17">
        <v>577</v>
      </c>
      <c r="H235" s="23">
        <f t="shared" si="3"/>
        <v>0.81629116117850953</v>
      </c>
    </row>
    <row r="236" spans="1:8" x14ac:dyDescent="0.3">
      <c r="A236" s="18">
        <v>12</v>
      </c>
      <c r="B236" s="40">
        <v>45044</v>
      </c>
      <c r="C236" s="18" t="s">
        <v>112</v>
      </c>
      <c r="D236" s="18">
        <v>11</v>
      </c>
      <c r="E236" s="17">
        <v>29</v>
      </c>
      <c r="F236" s="17">
        <v>193</v>
      </c>
      <c r="G236" s="17">
        <v>256</v>
      </c>
      <c r="H236" s="23">
        <f t="shared" si="3"/>
        <v>0.75390625</v>
      </c>
    </row>
    <row r="237" spans="1:8" x14ac:dyDescent="0.3">
      <c r="A237" s="18">
        <v>12</v>
      </c>
      <c r="B237" s="40">
        <v>45044</v>
      </c>
      <c r="C237" s="18" t="s">
        <v>111</v>
      </c>
      <c r="D237" s="18">
        <v>12</v>
      </c>
      <c r="E237" s="17">
        <v>21</v>
      </c>
      <c r="F237" s="17">
        <v>259</v>
      </c>
      <c r="G237" s="17">
        <v>319</v>
      </c>
      <c r="H237" s="23">
        <f t="shared" si="3"/>
        <v>0.81191222570532917</v>
      </c>
    </row>
    <row r="238" spans="1:8" x14ac:dyDescent="0.3">
      <c r="A238" s="18">
        <v>12</v>
      </c>
      <c r="B238" s="40">
        <v>45044</v>
      </c>
      <c r="C238" s="18" t="s">
        <v>143</v>
      </c>
      <c r="D238" s="18">
        <v>13</v>
      </c>
      <c r="E238" s="17">
        <v>16</v>
      </c>
      <c r="F238" s="17">
        <v>241</v>
      </c>
      <c r="G238" s="17">
        <v>279</v>
      </c>
      <c r="H238" s="23">
        <f t="shared" si="3"/>
        <v>0.86379928315412191</v>
      </c>
    </row>
    <row r="239" spans="1:8" x14ac:dyDescent="0.3">
      <c r="A239" s="18">
        <v>12</v>
      </c>
      <c r="B239" s="40">
        <v>45044</v>
      </c>
      <c r="C239" s="18" t="s">
        <v>236</v>
      </c>
      <c r="D239" s="18">
        <v>14</v>
      </c>
      <c r="E239" s="17">
        <v>16</v>
      </c>
      <c r="F239" s="17">
        <v>147</v>
      </c>
      <c r="G239" s="17">
        <v>159</v>
      </c>
      <c r="H239" s="23">
        <f t="shared" si="3"/>
        <v>0.92452830188679247</v>
      </c>
    </row>
    <row r="240" spans="1:8" x14ac:dyDescent="0.3">
      <c r="A240" s="18">
        <v>12</v>
      </c>
      <c r="B240" s="40">
        <v>45044</v>
      </c>
      <c r="C240" s="18" t="s">
        <v>191</v>
      </c>
      <c r="D240" s="18">
        <v>15</v>
      </c>
      <c r="E240" s="17">
        <v>16</v>
      </c>
      <c r="F240" s="17">
        <v>86</v>
      </c>
      <c r="G240" s="17">
        <v>164</v>
      </c>
      <c r="H240" s="23">
        <f t="shared" si="3"/>
        <v>0.52439024390243905</v>
      </c>
    </row>
    <row r="241" spans="1:9" x14ac:dyDescent="0.3">
      <c r="A241" s="18">
        <v>12</v>
      </c>
      <c r="B241" s="40">
        <v>45044</v>
      </c>
      <c r="C241" s="18" t="s">
        <v>140</v>
      </c>
      <c r="D241" s="18">
        <v>16</v>
      </c>
      <c r="E241" s="17">
        <v>12</v>
      </c>
      <c r="F241" s="17">
        <v>344</v>
      </c>
      <c r="G241" s="17">
        <v>380</v>
      </c>
      <c r="H241" s="23">
        <f t="shared" si="3"/>
        <v>0.90526315789473688</v>
      </c>
    </row>
    <row r="242" spans="1:9" x14ac:dyDescent="0.3">
      <c r="A242" s="18">
        <v>12</v>
      </c>
      <c r="B242" s="40">
        <v>45044</v>
      </c>
      <c r="C242" s="18" t="s">
        <v>237</v>
      </c>
      <c r="D242" s="18">
        <v>17</v>
      </c>
      <c r="E242" s="17">
        <v>10</v>
      </c>
      <c r="F242" s="17">
        <v>30</v>
      </c>
      <c r="G242" s="17">
        <v>59</v>
      </c>
      <c r="H242" s="23">
        <f t="shared" si="3"/>
        <v>0.50847457627118642</v>
      </c>
    </row>
    <row r="243" spans="1:9" x14ac:dyDescent="0.3">
      <c r="A243" s="18">
        <v>12</v>
      </c>
      <c r="B243" s="40">
        <v>45044</v>
      </c>
      <c r="C243" s="18" t="s">
        <v>238</v>
      </c>
      <c r="D243" s="18">
        <v>18</v>
      </c>
      <c r="E243" s="17">
        <v>7</v>
      </c>
      <c r="F243" s="17">
        <v>24</v>
      </c>
      <c r="G243" s="17">
        <v>42</v>
      </c>
      <c r="H243" s="23">
        <f t="shared" si="3"/>
        <v>0.5714285714285714</v>
      </c>
    </row>
    <row r="244" spans="1:9" x14ac:dyDescent="0.3">
      <c r="A244" s="18">
        <v>12</v>
      </c>
      <c r="B244" s="40">
        <v>45044</v>
      </c>
      <c r="C244" s="18" t="s">
        <v>239</v>
      </c>
      <c r="D244" s="18">
        <v>19</v>
      </c>
      <c r="E244" s="17">
        <v>6</v>
      </c>
      <c r="F244" s="17">
        <v>28</v>
      </c>
      <c r="G244" s="17">
        <v>51</v>
      </c>
      <c r="H244" s="23">
        <f t="shared" si="3"/>
        <v>0.5490196078431373</v>
      </c>
    </row>
    <row r="245" spans="1:9" x14ac:dyDescent="0.3">
      <c r="A245" s="18">
        <v>12</v>
      </c>
      <c r="B245" s="40">
        <v>45044</v>
      </c>
      <c r="C245" s="18" t="s">
        <v>240</v>
      </c>
      <c r="D245" s="18">
        <v>20</v>
      </c>
      <c r="E245" s="17">
        <v>5</v>
      </c>
      <c r="F245" s="17">
        <v>18</v>
      </c>
      <c r="G245" s="17">
        <v>43</v>
      </c>
      <c r="H245" s="23">
        <f t="shared" si="3"/>
        <v>0.41860465116279072</v>
      </c>
    </row>
    <row r="246" spans="1:9" x14ac:dyDescent="0.3">
      <c r="A246" s="18">
        <v>12</v>
      </c>
      <c r="B246" s="40">
        <v>45044</v>
      </c>
      <c r="C246" s="18" t="s">
        <v>241</v>
      </c>
      <c r="D246" s="18">
        <v>21</v>
      </c>
      <c r="E246" s="17">
        <v>3</v>
      </c>
      <c r="F246" s="17">
        <v>14</v>
      </c>
      <c r="G246" s="17">
        <v>30</v>
      </c>
      <c r="H246" s="23">
        <f t="shared" si="3"/>
        <v>0.46666666666666667</v>
      </c>
    </row>
    <row r="247" spans="1:9" x14ac:dyDescent="0.3">
      <c r="A247" s="18">
        <v>12</v>
      </c>
      <c r="B247" s="40">
        <v>45044</v>
      </c>
      <c r="C247" s="18" t="s">
        <v>242</v>
      </c>
      <c r="D247" s="18">
        <v>22</v>
      </c>
      <c r="E247" s="17">
        <v>2</v>
      </c>
      <c r="F247" s="17">
        <v>13</v>
      </c>
      <c r="G247" s="17">
        <v>16</v>
      </c>
      <c r="H247" s="23">
        <f t="shared" si="3"/>
        <v>0.8125</v>
      </c>
    </row>
    <row r="248" spans="1:9" x14ac:dyDescent="0.3">
      <c r="A248" s="18">
        <v>12</v>
      </c>
      <c r="B248" s="40">
        <v>45044</v>
      </c>
      <c r="C248" s="18" t="s">
        <v>172</v>
      </c>
      <c r="D248" s="18">
        <v>23</v>
      </c>
      <c r="E248" s="17">
        <v>2</v>
      </c>
      <c r="F248" s="17">
        <v>0</v>
      </c>
      <c r="G248" s="17">
        <v>7</v>
      </c>
      <c r="H248" s="23">
        <f t="shared" si="3"/>
        <v>0</v>
      </c>
    </row>
    <row r="249" spans="1:9" x14ac:dyDescent="0.3">
      <c r="A249" s="18">
        <v>58</v>
      </c>
      <c r="B249" s="40">
        <v>45366</v>
      </c>
      <c r="C249" s="18" t="s">
        <v>243</v>
      </c>
      <c r="D249" s="18">
        <v>1</v>
      </c>
      <c r="E249" s="17">
        <v>178</v>
      </c>
      <c r="F249" s="17">
        <v>15449</v>
      </c>
      <c r="G249" s="17">
        <v>13621</v>
      </c>
      <c r="H249" s="23">
        <f t="shared" si="3"/>
        <v>1.1342045371118126</v>
      </c>
      <c r="I249" s="17" t="s">
        <v>244</v>
      </c>
    </row>
    <row r="250" spans="1:9" x14ac:dyDescent="0.3">
      <c r="A250" s="18">
        <v>58</v>
      </c>
      <c r="B250" s="40">
        <v>45366</v>
      </c>
      <c r="C250" s="18" t="s">
        <v>244</v>
      </c>
      <c r="D250" s="18">
        <v>2</v>
      </c>
      <c r="E250" s="17">
        <v>178</v>
      </c>
      <c r="F250" s="17">
        <v>21768</v>
      </c>
      <c r="G250" s="17">
        <v>16013</v>
      </c>
      <c r="H250" s="23">
        <f t="shared" si="3"/>
        <v>1.3593954911634296</v>
      </c>
      <c r="I250" s="17" t="s">
        <v>245</v>
      </c>
    </row>
    <row r="251" spans="1:9" x14ac:dyDescent="0.3">
      <c r="A251" s="18">
        <v>58</v>
      </c>
      <c r="B251" s="40">
        <v>45366</v>
      </c>
      <c r="C251" s="18" t="s">
        <v>245</v>
      </c>
      <c r="D251" s="18">
        <v>3</v>
      </c>
      <c r="E251" s="17">
        <v>178</v>
      </c>
      <c r="F251" s="17">
        <v>20778</v>
      </c>
      <c r="G251" s="17">
        <v>20267</v>
      </c>
      <c r="H251" s="23">
        <f t="shared" si="3"/>
        <v>1.0252134010953766</v>
      </c>
      <c r="I251" s="17" t="s">
        <v>244</v>
      </c>
    </row>
    <row r="252" spans="1:9" x14ac:dyDescent="0.3">
      <c r="A252" s="18">
        <v>58</v>
      </c>
      <c r="B252" s="40">
        <v>45366</v>
      </c>
      <c r="C252" s="18" t="s">
        <v>246</v>
      </c>
      <c r="D252" s="18">
        <v>4</v>
      </c>
      <c r="E252" s="17">
        <v>129</v>
      </c>
      <c r="F252" s="17">
        <v>4364</v>
      </c>
      <c r="G252" s="17">
        <v>5396</v>
      </c>
      <c r="H252" s="23">
        <f t="shared" si="3"/>
        <v>0.80874722016308376</v>
      </c>
      <c r="I252" s="17" t="s">
        <v>245</v>
      </c>
    </row>
    <row r="253" spans="1:9" x14ac:dyDescent="0.3">
      <c r="A253" s="18">
        <v>58</v>
      </c>
      <c r="B253" s="40">
        <v>45366</v>
      </c>
      <c r="C253" s="18" t="s">
        <v>247</v>
      </c>
      <c r="D253" s="18">
        <v>5</v>
      </c>
      <c r="E253" s="17">
        <v>108</v>
      </c>
      <c r="F253" s="17">
        <v>3307</v>
      </c>
      <c r="G253" s="17">
        <v>5231</v>
      </c>
      <c r="H253" s="23">
        <f t="shared" si="3"/>
        <v>0.63219269738099793</v>
      </c>
      <c r="I253" s="17" t="s">
        <v>245</v>
      </c>
    </row>
    <row r="254" spans="1:9" x14ac:dyDescent="0.3">
      <c r="A254" s="18">
        <v>58</v>
      </c>
      <c r="B254" s="40">
        <v>45366</v>
      </c>
      <c r="C254" s="18" t="s">
        <v>248</v>
      </c>
      <c r="D254" s="18">
        <v>6</v>
      </c>
      <c r="E254" s="17">
        <v>83</v>
      </c>
      <c r="F254" s="17">
        <v>552</v>
      </c>
      <c r="G254" s="17">
        <v>1036</v>
      </c>
      <c r="H254" s="23">
        <f t="shared" si="3"/>
        <v>0.53281853281853286</v>
      </c>
      <c r="I254" s="17" t="s">
        <v>249</v>
      </c>
    </row>
    <row r="255" spans="1:9" x14ac:dyDescent="0.3">
      <c r="A255" s="18">
        <v>58</v>
      </c>
      <c r="B255" s="40">
        <v>45366</v>
      </c>
      <c r="C255" s="18" t="s">
        <v>250</v>
      </c>
      <c r="D255" s="18">
        <v>7</v>
      </c>
      <c r="E255" s="17">
        <v>69</v>
      </c>
      <c r="F255" s="17">
        <v>1029</v>
      </c>
      <c r="G255" s="17">
        <v>2096</v>
      </c>
      <c r="H255" s="23">
        <f t="shared" si="3"/>
        <v>0.49093511450381677</v>
      </c>
      <c r="I255" s="17" t="s">
        <v>245</v>
      </c>
    </row>
    <row r="256" spans="1:9" x14ac:dyDescent="0.3">
      <c r="A256" s="18">
        <v>58</v>
      </c>
      <c r="B256" s="40">
        <v>45366</v>
      </c>
      <c r="C256" s="18" t="s">
        <v>251</v>
      </c>
      <c r="D256" s="18">
        <v>8</v>
      </c>
      <c r="E256" s="17">
        <v>69</v>
      </c>
      <c r="F256" s="17">
        <v>1088</v>
      </c>
      <c r="G256" s="17">
        <v>542</v>
      </c>
      <c r="H256" s="23">
        <f t="shared" si="3"/>
        <v>2.0073800738007379</v>
      </c>
      <c r="I256" s="17" t="s">
        <v>246</v>
      </c>
    </row>
    <row r="257" spans="1:9" x14ac:dyDescent="0.3">
      <c r="A257" s="18">
        <v>58</v>
      </c>
      <c r="B257" s="40">
        <v>45366</v>
      </c>
      <c r="C257" s="18" t="s">
        <v>252</v>
      </c>
      <c r="D257" s="18">
        <v>9</v>
      </c>
      <c r="E257" s="17">
        <v>65</v>
      </c>
      <c r="F257" s="17">
        <v>933</v>
      </c>
      <c r="G257" s="17">
        <v>1374</v>
      </c>
      <c r="H257" s="23">
        <f t="shared" si="3"/>
        <v>0.67903930131004364</v>
      </c>
      <c r="I257" s="17" t="s">
        <v>246</v>
      </c>
    </row>
    <row r="258" spans="1:9" x14ac:dyDescent="0.3">
      <c r="A258" s="18">
        <v>58</v>
      </c>
      <c r="B258" s="40">
        <v>45366</v>
      </c>
      <c r="C258" s="18" t="s">
        <v>249</v>
      </c>
      <c r="D258" s="18">
        <v>10</v>
      </c>
      <c r="E258" s="17">
        <v>54</v>
      </c>
      <c r="F258" s="17">
        <v>1061</v>
      </c>
      <c r="G258" s="17">
        <v>1537</v>
      </c>
      <c r="H258" s="23">
        <f t="shared" ref="H258:H321" si="4">F258/G258</f>
        <v>0.69030579050097596</v>
      </c>
      <c r="I258" s="17" t="s">
        <v>251</v>
      </c>
    </row>
    <row r="259" spans="1:9" x14ac:dyDescent="0.3">
      <c r="A259" s="18">
        <v>58</v>
      </c>
      <c r="B259" s="40">
        <v>45366</v>
      </c>
      <c r="C259" s="18" t="s">
        <v>253</v>
      </c>
      <c r="D259" s="18">
        <v>11</v>
      </c>
      <c r="E259" s="17">
        <v>51</v>
      </c>
      <c r="F259" s="17">
        <v>732</v>
      </c>
      <c r="G259" s="17">
        <v>1346</v>
      </c>
      <c r="H259" s="23">
        <f t="shared" si="4"/>
        <v>0.54383358098068346</v>
      </c>
      <c r="I259" s="17" t="s">
        <v>245</v>
      </c>
    </row>
    <row r="260" spans="1:9" x14ac:dyDescent="0.3">
      <c r="A260" s="18">
        <v>58</v>
      </c>
      <c r="B260" s="40">
        <v>45366</v>
      </c>
      <c r="C260" s="18" t="s">
        <v>188</v>
      </c>
      <c r="D260" s="18">
        <v>12</v>
      </c>
      <c r="E260" s="17">
        <v>36</v>
      </c>
      <c r="F260" s="17">
        <v>509</v>
      </c>
      <c r="G260" s="17">
        <v>494</v>
      </c>
      <c r="H260" s="23">
        <f t="shared" si="4"/>
        <v>1.0303643724696356</v>
      </c>
      <c r="I260" s="17" t="s">
        <v>253</v>
      </c>
    </row>
    <row r="261" spans="1:9" x14ac:dyDescent="0.3">
      <c r="A261" s="18">
        <v>58</v>
      </c>
      <c r="B261" s="40">
        <v>45366</v>
      </c>
      <c r="C261" s="18" t="s">
        <v>254</v>
      </c>
      <c r="D261" s="18">
        <v>13</v>
      </c>
      <c r="E261" s="17">
        <v>30</v>
      </c>
      <c r="F261" s="17">
        <v>82</v>
      </c>
      <c r="G261" s="17">
        <v>63</v>
      </c>
      <c r="H261" s="23">
        <f t="shared" si="4"/>
        <v>1.3015873015873016</v>
      </c>
      <c r="I261" s="17" t="s">
        <v>243</v>
      </c>
    </row>
    <row r="262" spans="1:9" x14ac:dyDescent="0.3">
      <c r="A262" s="18">
        <v>58</v>
      </c>
      <c r="B262" s="40">
        <v>45366</v>
      </c>
      <c r="C262" s="18" t="s">
        <v>255</v>
      </c>
      <c r="D262" s="18">
        <v>14</v>
      </c>
      <c r="E262" s="17">
        <v>24</v>
      </c>
      <c r="F262" s="17">
        <v>103</v>
      </c>
      <c r="G262" s="17">
        <v>334</v>
      </c>
      <c r="H262" s="23">
        <f t="shared" si="4"/>
        <v>0.30838323353293412</v>
      </c>
      <c r="I262" s="17" t="s">
        <v>249</v>
      </c>
    </row>
    <row r="263" spans="1:9" x14ac:dyDescent="0.3">
      <c r="A263" s="18">
        <v>58</v>
      </c>
      <c r="B263" s="40">
        <v>45366</v>
      </c>
      <c r="C263" s="18" t="s">
        <v>256</v>
      </c>
      <c r="D263" s="18">
        <v>15</v>
      </c>
      <c r="E263" s="17">
        <v>20</v>
      </c>
      <c r="F263" s="17">
        <v>42</v>
      </c>
      <c r="G263" s="17">
        <v>102</v>
      </c>
      <c r="H263" s="23">
        <f t="shared" si="4"/>
        <v>0.41176470588235292</v>
      </c>
      <c r="I263" s="17" t="s">
        <v>251</v>
      </c>
    </row>
    <row r="264" spans="1:9" x14ac:dyDescent="0.3">
      <c r="A264" s="18">
        <v>58</v>
      </c>
      <c r="B264" s="40">
        <v>45366</v>
      </c>
      <c r="C264" s="18" t="s">
        <v>257</v>
      </c>
      <c r="D264" s="18">
        <v>16</v>
      </c>
      <c r="E264" s="17">
        <v>13</v>
      </c>
      <c r="F264" s="17">
        <v>238</v>
      </c>
      <c r="G264" s="17">
        <v>285</v>
      </c>
      <c r="H264" s="23">
        <f t="shared" si="4"/>
        <v>0.83508771929824566</v>
      </c>
      <c r="I264" s="17" t="s">
        <v>245</v>
      </c>
    </row>
    <row r="265" spans="1:9" x14ac:dyDescent="0.3">
      <c r="A265" s="18">
        <v>58</v>
      </c>
      <c r="B265" s="40">
        <v>45366</v>
      </c>
      <c r="C265" s="18" t="s">
        <v>258</v>
      </c>
      <c r="D265" s="18">
        <v>17</v>
      </c>
      <c r="E265" s="17">
        <v>12</v>
      </c>
      <c r="F265" s="17">
        <v>97</v>
      </c>
      <c r="G265" s="17">
        <v>217</v>
      </c>
      <c r="H265" s="23">
        <f t="shared" si="4"/>
        <v>0.44700460829493088</v>
      </c>
      <c r="I265" s="17" t="s">
        <v>243</v>
      </c>
    </row>
    <row r="266" spans="1:9" x14ac:dyDescent="0.3">
      <c r="A266" s="18">
        <v>58</v>
      </c>
      <c r="B266" s="40">
        <v>45366</v>
      </c>
      <c r="C266" s="18" t="s">
        <v>259</v>
      </c>
      <c r="D266" s="18">
        <v>18</v>
      </c>
      <c r="E266" s="17">
        <v>10</v>
      </c>
      <c r="F266" s="17">
        <v>131</v>
      </c>
      <c r="G266" s="17">
        <v>234</v>
      </c>
      <c r="H266" s="23">
        <f t="shared" si="4"/>
        <v>0.55982905982905984</v>
      </c>
      <c r="I266" s="17" t="s">
        <v>249</v>
      </c>
    </row>
    <row r="267" spans="1:9" x14ac:dyDescent="0.3">
      <c r="A267" s="18">
        <v>58</v>
      </c>
      <c r="B267" s="40">
        <v>45366</v>
      </c>
      <c r="C267" s="18" t="s">
        <v>260</v>
      </c>
      <c r="D267" s="18">
        <v>19</v>
      </c>
      <c r="E267" s="17">
        <v>9</v>
      </c>
      <c r="F267" s="17">
        <v>24</v>
      </c>
      <c r="G267" s="17">
        <v>62</v>
      </c>
      <c r="H267" s="23">
        <f t="shared" si="4"/>
        <v>0.38709677419354838</v>
      </c>
      <c r="I267" s="17" t="s">
        <v>247</v>
      </c>
    </row>
    <row r="268" spans="1:9" x14ac:dyDescent="0.3">
      <c r="A268" s="18">
        <v>58</v>
      </c>
      <c r="B268" s="40">
        <v>45366</v>
      </c>
      <c r="C268" s="18" t="s">
        <v>261</v>
      </c>
      <c r="D268" s="18">
        <v>20</v>
      </c>
      <c r="E268" s="17">
        <v>8</v>
      </c>
      <c r="F268" s="17">
        <v>89</v>
      </c>
      <c r="G268" s="17">
        <v>105</v>
      </c>
      <c r="H268" s="23">
        <f t="shared" si="4"/>
        <v>0.84761904761904761</v>
      </c>
      <c r="I268" s="17" t="s">
        <v>245</v>
      </c>
    </row>
    <row r="269" spans="1:9" x14ac:dyDescent="0.3">
      <c r="A269" s="18">
        <v>58</v>
      </c>
      <c r="B269" s="40">
        <v>45366</v>
      </c>
      <c r="C269" s="18" t="s">
        <v>262</v>
      </c>
      <c r="D269" s="18">
        <v>21</v>
      </c>
      <c r="E269" s="17">
        <v>3</v>
      </c>
      <c r="F269" s="17">
        <v>4</v>
      </c>
      <c r="G269" s="17">
        <v>23</v>
      </c>
      <c r="H269" s="23">
        <f t="shared" si="4"/>
        <v>0.17391304347826086</v>
      </c>
      <c r="I269" s="17" t="s">
        <v>246</v>
      </c>
    </row>
    <row r="270" spans="1:9" x14ac:dyDescent="0.3">
      <c r="A270" s="18">
        <v>58</v>
      </c>
      <c r="B270" s="40">
        <v>45366</v>
      </c>
      <c r="C270" s="18" t="s">
        <v>172</v>
      </c>
      <c r="D270" s="18">
        <v>22</v>
      </c>
      <c r="E270" s="17">
        <v>3</v>
      </c>
      <c r="F270" s="17">
        <v>8</v>
      </c>
      <c r="G270" s="17">
        <v>16</v>
      </c>
      <c r="H270" s="23">
        <f t="shared" si="4"/>
        <v>0.5</v>
      </c>
      <c r="I270" s="17" t="s">
        <v>249</v>
      </c>
    </row>
    <row r="271" spans="1:9" x14ac:dyDescent="0.3">
      <c r="A271" s="18">
        <v>59</v>
      </c>
      <c r="B271" s="40">
        <v>45373</v>
      </c>
      <c r="C271" s="18" t="s">
        <v>263</v>
      </c>
      <c r="D271" s="18">
        <v>1</v>
      </c>
      <c r="E271" s="17">
        <v>118</v>
      </c>
      <c r="F271" s="17">
        <v>12412</v>
      </c>
      <c r="G271" s="17">
        <v>9932</v>
      </c>
      <c r="H271" s="23">
        <f t="shared" si="4"/>
        <v>1.2496979460330246</v>
      </c>
      <c r="I271" s="17" t="s">
        <v>264</v>
      </c>
    </row>
    <row r="272" spans="1:9" x14ac:dyDescent="0.3">
      <c r="A272" s="18">
        <v>59</v>
      </c>
      <c r="B272" s="40">
        <v>45373</v>
      </c>
      <c r="C272" s="18" t="s">
        <v>264</v>
      </c>
      <c r="D272" s="18">
        <v>2</v>
      </c>
      <c r="E272" s="17">
        <v>118</v>
      </c>
      <c r="F272" s="17">
        <v>6219</v>
      </c>
      <c r="G272" s="17">
        <v>4718</v>
      </c>
      <c r="H272" s="23">
        <f t="shared" si="4"/>
        <v>1.318143281051293</v>
      </c>
      <c r="I272" s="17" t="s">
        <v>263</v>
      </c>
    </row>
    <row r="273" spans="1:9" x14ac:dyDescent="0.3">
      <c r="A273" s="18">
        <v>59</v>
      </c>
      <c r="B273" s="40">
        <v>45373</v>
      </c>
      <c r="C273" s="18" t="s">
        <v>245</v>
      </c>
      <c r="D273" s="18">
        <v>3</v>
      </c>
      <c r="E273" s="17">
        <v>116</v>
      </c>
      <c r="F273" s="17">
        <v>4626</v>
      </c>
      <c r="G273" s="17">
        <v>4093</v>
      </c>
      <c r="H273" s="23">
        <f t="shared" si="4"/>
        <v>1.1302223308086978</v>
      </c>
      <c r="I273" s="17" t="s">
        <v>265</v>
      </c>
    </row>
    <row r="274" spans="1:9" x14ac:dyDescent="0.3">
      <c r="A274" s="18">
        <v>59</v>
      </c>
      <c r="B274" s="40">
        <v>45373</v>
      </c>
      <c r="C274" s="18" t="s">
        <v>265</v>
      </c>
      <c r="D274" s="18">
        <v>4</v>
      </c>
      <c r="E274" s="17">
        <v>87</v>
      </c>
      <c r="F274" s="17">
        <v>2509</v>
      </c>
      <c r="G274" s="17">
        <v>2634</v>
      </c>
      <c r="H274" s="23">
        <f t="shared" si="4"/>
        <v>0.95254365983295364</v>
      </c>
      <c r="I274" s="17" t="s">
        <v>245</v>
      </c>
    </row>
    <row r="275" spans="1:9" x14ac:dyDescent="0.3">
      <c r="A275" s="18">
        <v>59</v>
      </c>
      <c r="B275" s="40">
        <v>45373</v>
      </c>
      <c r="C275" s="18" t="s">
        <v>239</v>
      </c>
      <c r="D275" s="18">
        <v>5</v>
      </c>
      <c r="E275" s="17">
        <v>86</v>
      </c>
      <c r="F275" s="17">
        <v>4236</v>
      </c>
      <c r="G275" s="17">
        <v>4605</v>
      </c>
      <c r="H275" s="23">
        <f t="shared" si="4"/>
        <v>0.91986970684039093</v>
      </c>
      <c r="I275" s="17" t="s">
        <v>263</v>
      </c>
    </row>
    <row r="276" spans="1:9" x14ac:dyDescent="0.3">
      <c r="A276" s="18">
        <v>59</v>
      </c>
      <c r="B276" s="40">
        <v>45373</v>
      </c>
      <c r="C276" s="18" t="s">
        <v>243</v>
      </c>
      <c r="D276" s="18">
        <v>6</v>
      </c>
      <c r="E276" s="17">
        <v>67</v>
      </c>
      <c r="F276" s="17">
        <v>2551</v>
      </c>
      <c r="G276" s="17">
        <v>3781</v>
      </c>
      <c r="H276" s="23">
        <f t="shared" si="4"/>
        <v>0.67468923565194394</v>
      </c>
      <c r="I276" s="17" t="s">
        <v>263</v>
      </c>
    </row>
    <row r="277" spans="1:9" x14ac:dyDescent="0.3">
      <c r="A277" s="18">
        <v>59</v>
      </c>
      <c r="B277" s="40">
        <v>45373</v>
      </c>
      <c r="C277" s="18" t="s">
        <v>254</v>
      </c>
      <c r="D277" s="18">
        <v>7</v>
      </c>
      <c r="E277" s="17">
        <v>59</v>
      </c>
      <c r="F277" s="17">
        <v>703</v>
      </c>
      <c r="G277" s="17">
        <v>1260</v>
      </c>
      <c r="H277" s="23">
        <f t="shared" si="4"/>
        <v>0.55793650793650795</v>
      </c>
      <c r="I277" s="17" t="s">
        <v>263</v>
      </c>
    </row>
    <row r="278" spans="1:9" x14ac:dyDescent="0.3">
      <c r="A278" s="18">
        <v>59</v>
      </c>
      <c r="B278" s="40">
        <v>45373</v>
      </c>
      <c r="C278" s="18" t="s">
        <v>252</v>
      </c>
      <c r="D278" s="18">
        <v>8</v>
      </c>
      <c r="E278" s="17">
        <v>45</v>
      </c>
      <c r="F278" s="17">
        <v>894</v>
      </c>
      <c r="G278" s="17">
        <v>852</v>
      </c>
      <c r="H278" s="23">
        <f t="shared" si="4"/>
        <v>1.0492957746478873</v>
      </c>
      <c r="I278" s="17" t="s">
        <v>265</v>
      </c>
    </row>
    <row r="279" spans="1:9" x14ac:dyDescent="0.3">
      <c r="A279" s="18">
        <v>59</v>
      </c>
      <c r="B279" s="40">
        <v>45373</v>
      </c>
      <c r="C279" s="18" t="s">
        <v>266</v>
      </c>
      <c r="D279" s="18">
        <v>9</v>
      </c>
      <c r="E279" s="17">
        <v>44</v>
      </c>
      <c r="F279" s="17">
        <v>346</v>
      </c>
      <c r="G279" s="17">
        <v>527</v>
      </c>
      <c r="H279" s="23">
        <f t="shared" si="4"/>
        <v>0.65654648956356731</v>
      </c>
      <c r="I279" s="17" t="s">
        <v>243</v>
      </c>
    </row>
    <row r="280" spans="1:9" x14ac:dyDescent="0.3">
      <c r="A280" s="18">
        <v>59</v>
      </c>
      <c r="B280" s="40">
        <v>45373</v>
      </c>
      <c r="C280" s="18" t="s">
        <v>267</v>
      </c>
      <c r="D280" s="18">
        <v>10</v>
      </c>
      <c r="E280" s="17">
        <v>26</v>
      </c>
      <c r="F280" s="17">
        <v>590</v>
      </c>
      <c r="G280" s="17">
        <v>664</v>
      </c>
      <c r="H280" s="23">
        <f t="shared" si="4"/>
        <v>0.88855421686746983</v>
      </c>
      <c r="I280" s="17" t="s">
        <v>263</v>
      </c>
    </row>
    <row r="281" spans="1:9" x14ac:dyDescent="0.3">
      <c r="A281" s="18">
        <v>59</v>
      </c>
      <c r="B281" s="40">
        <v>45373</v>
      </c>
      <c r="C281" s="18" t="s">
        <v>268</v>
      </c>
      <c r="D281" s="18">
        <v>11</v>
      </c>
      <c r="E281" s="17">
        <v>25</v>
      </c>
      <c r="F281" s="17">
        <v>155</v>
      </c>
      <c r="G281" s="17">
        <v>216</v>
      </c>
      <c r="H281" s="23">
        <f t="shared" si="4"/>
        <v>0.71759259259259256</v>
      </c>
      <c r="I281" s="17" t="s">
        <v>265</v>
      </c>
    </row>
    <row r="282" spans="1:9" x14ac:dyDescent="0.3">
      <c r="A282" s="18">
        <v>59</v>
      </c>
      <c r="B282" s="40">
        <v>45373</v>
      </c>
      <c r="C282" s="18" t="s">
        <v>255</v>
      </c>
      <c r="D282" s="18">
        <v>12</v>
      </c>
      <c r="E282" s="17">
        <v>24</v>
      </c>
      <c r="F282" s="17">
        <v>308</v>
      </c>
      <c r="G282" s="17">
        <v>453</v>
      </c>
      <c r="H282" s="23">
        <f t="shared" si="4"/>
        <v>0.67991169977924948</v>
      </c>
      <c r="I282" s="17" t="s">
        <v>264</v>
      </c>
    </row>
    <row r="283" spans="1:9" x14ac:dyDescent="0.3">
      <c r="A283" s="18">
        <v>59</v>
      </c>
      <c r="B283" s="40">
        <v>45373</v>
      </c>
      <c r="C283" s="18" t="s">
        <v>269</v>
      </c>
      <c r="D283" s="18">
        <v>13</v>
      </c>
      <c r="E283" s="17">
        <v>22</v>
      </c>
      <c r="F283" s="17">
        <v>478</v>
      </c>
      <c r="G283" s="17">
        <v>803</v>
      </c>
      <c r="H283" s="23">
        <f t="shared" si="4"/>
        <v>0.59526774595267751</v>
      </c>
      <c r="I283" s="17" t="s">
        <v>266</v>
      </c>
    </row>
    <row r="284" spans="1:9" x14ac:dyDescent="0.3">
      <c r="A284" s="18">
        <v>59</v>
      </c>
      <c r="B284" s="40">
        <v>45373</v>
      </c>
      <c r="C284" s="18" t="s">
        <v>259</v>
      </c>
      <c r="D284" s="18">
        <v>14</v>
      </c>
      <c r="E284" s="17">
        <v>15</v>
      </c>
      <c r="F284" s="17">
        <v>41</v>
      </c>
      <c r="G284" s="17">
        <v>122</v>
      </c>
      <c r="H284" s="23">
        <f t="shared" si="4"/>
        <v>0.33606557377049179</v>
      </c>
      <c r="I284" s="17" t="s">
        <v>267</v>
      </c>
    </row>
    <row r="285" spans="1:9" x14ac:dyDescent="0.3">
      <c r="A285" s="18">
        <v>59</v>
      </c>
      <c r="B285" s="40">
        <v>45373</v>
      </c>
      <c r="C285" s="18" t="s">
        <v>270</v>
      </c>
      <c r="D285" s="18">
        <v>15</v>
      </c>
      <c r="E285" s="17">
        <v>14</v>
      </c>
      <c r="F285" s="17">
        <v>66</v>
      </c>
      <c r="G285" s="17">
        <v>100</v>
      </c>
      <c r="H285" s="23">
        <f t="shared" si="4"/>
        <v>0.66</v>
      </c>
      <c r="I285" s="17" t="s">
        <v>223</v>
      </c>
    </row>
    <row r="286" spans="1:9" x14ac:dyDescent="0.3">
      <c r="A286" s="18">
        <v>59</v>
      </c>
      <c r="B286" s="40">
        <v>45373</v>
      </c>
      <c r="C286" s="18" t="s">
        <v>271</v>
      </c>
      <c r="D286" s="18">
        <v>16</v>
      </c>
      <c r="E286" s="17">
        <v>10</v>
      </c>
      <c r="F286" s="17">
        <v>71</v>
      </c>
      <c r="G286" s="17">
        <v>67</v>
      </c>
      <c r="H286" s="23">
        <f t="shared" si="4"/>
        <v>1.0597014925373134</v>
      </c>
      <c r="I286" s="17" t="s">
        <v>255</v>
      </c>
    </row>
    <row r="287" spans="1:9" x14ac:dyDescent="0.3">
      <c r="A287" s="18">
        <v>59</v>
      </c>
      <c r="B287" s="40">
        <v>45373</v>
      </c>
      <c r="C287" s="18" t="s">
        <v>260</v>
      </c>
      <c r="D287" s="18">
        <v>17</v>
      </c>
      <c r="E287" s="17">
        <v>9</v>
      </c>
      <c r="F287" s="17">
        <v>53</v>
      </c>
      <c r="G287" s="17">
        <v>107</v>
      </c>
      <c r="H287" s="23">
        <f t="shared" si="4"/>
        <v>0.49532710280373832</v>
      </c>
      <c r="I287" s="17" t="s">
        <v>263</v>
      </c>
    </row>
    <row r="288" spans="1:9" x14ac:dyDescent="0.3">
      <c r="A288" s="18">
        <v>59</v>
      </c>
      <c r="B288" s="40">
        <v>45373</v>
      </c>
      <c r="C288" s="18" t="s">
        <v>272</v>
      </c>
      <c r="D288" s="18">
        <v>18</v>
      </c>
      <c r="E288" s="17">
        <v>8</v>
      </c>
      <c r="F288" s="17">
        <v>24</v>
      </c>
      <c r="G288" s="17">
        <v>76</v>
      </c>
      <c r="H288" s="23">
        <f t="shared" si="4"/>
        <v>0.31578947368421051</v>
      </c>
      <c r="I288" s="17" t="s">
        <v>254</v>
      </c>
    </row>
    <row r="289" spans="1:9" x14ac:dyDescent="0.3">
      <c r="A289" s="18">
        <v>59</v>
      </c>
      <c r="B289" s="40">
        <v>45373</v>
      </c>
      <c r="C289" s="18" t="s">
        <v>249</v>
      </c>
      <c r="D289" s="18">
        <v>19</v>
      </c>
      <c r="E289" s="17">
        <v>7</v>
      </c>
      <c r="F289" s="17">
        <v>42</v>
      </c>
      <c r="G289" s="17">
        <v>79</v>
      </c>
      <c r="H289" s="23">
        <f t="shared" si="4"/>
        <v>0.53164556962025311</v>
      </c>
      <c r="I289" s="17" t="s">
        <v>243</v>
      </c>
    </row>
    <row r="290" spans="1:9" x14ac:dyDescent="0.3">
      <c r="A290" s="18">
        <v>59</v>
      </c>
      <c r="B290" s="40">
        <v>45373</v>
      </c>
      <c r="C290" s="18" t="s">
        <v>244</v>
      </c>
      <c r="D290" s="18">
        <v>20</v>
      </c>
      <c r="E290" s="17">
        <v>6</v>
      </c>
      <c r="F290" s="17">
        <v>53</v>
      </c>
      <c r="G290" s="17">
        <v>51</v>
      </c>
      <c r="H290" s="23">
        <f t="shared" si="4"/>
        <v>1.0392156862745099</v>
      </c>
      <c r="I290" s="17" t="s">
        <v>267</v>
      </c>
    </row>
    <row r="291" spans="1:9" x14ac:dyDescent="0.3">
      <c r="A291" s="18">
        <v>59</v>
      </c>
      <c r="B291" s="40">
        <v>45373</v>
      </c>
      <c r="C291" s="18" t="s">
        <v>256</v>
      </c>
      <c r="D291" s="18">
        <v>21</v>
      </c>
      <c r="E291" s="17">
        <v>5</v>
      </c>
      <c r="F291" s="17">
        <v>21</v>
      </c>
      <c r="G291" s="17">
        <v>49</v>
      </c>
      <c r="H291" s="23">
        <f t="shared" si="4"/>
        <v>0.42857142857142855</v>
      </c>
      <c r="I291" s="17" t="s">
        <v>245</v>
      </c>
    </row>
    <row r="292" spans="1:9" x14ac:dyDescent="0.3">
      <c r="A292" s="18">
        <v>59</v>
      </c>
      <c r="B292" s="40">
        <v>45373</v>
      </c>
      <c r="C292" s="18" t="s">
        <v>262</v>
      </c>
      <c r="D292" s="18">
        <v>22</v>
      </c>
      <c r="E292" s="17">
        <v>4</v>
      </c>
      <c r="F292" s="17">
        <v>10</v>
      </c>
      <c r="G292" s="17">
        <v>33</v>
      </c>
      <c r="H292" s="23">
        <f t="shared" si="4"/>
        <v>0.30303030303030304</v>
      </c>
      <c r="I292" s="17" t="s">
        <v>245</v>
      </c>
    </row>
    <row r="293" spans="1:9" x14ac:dyDescent="0.3">
      <c r="A293" s="18">
        <v>59</v>
      </c>
      <c r="B293" s="40">
        <v>45373</v>
      </c>
      <c r="C293" s="18" t="s">
        <v>273</v>
      </c>
      <c r="D293" s="18">
        <v>23</v>
      </c>
      <c r="E293" s="17">
        <v>0</v>
      </c>
      <c r="F293" s="17">
        <v>61</v>
      </c>
      <c r="G293" s="17">
        <v>103</v>
      </c>
      <c r="H293" s="23">
        <f t="shared" si="4"/>
        <v>0.59223300970873782</v>
      </c>
      <c r="I293" s="17" t="s">
        <v>260</v>
      </c>
    </row>
    <row r="294" spans="1:9" x14ac:dyDescent="0.3">
      <c r="A294" s="18">
        <v>60</v>
      </c>
      <c r="B294" s="40">
        <v>45380</v>
      </c>
      <c r="C294" s="18" t="s">
        <v>274</v>
      </c>
      <c r="D294" s="18">
        <v>1</v>
      </c>
      <c r="E294" s="17">
        <v>181</v>
      </c>
      <c r="F294" s="17">
        <v>19226</v>
      </c>
      <c r="G294" s="17">
        <v>15917</v>
      </c>
      <c r="H294" s="23">
        <f t="shared" si="4"/>
        <v>1.2078909342212729</v>
      </c>
      <c r="I294" s="17" t="s">
        <v>254</v>
      </c>
    </row>
    <row r="295" spans="1:9" x14ac:dyDescent="0.3">
      <c r="A295" s="18">
        <v>60</v>
      </c>
      <c r="B295" s="40">
        <v>45380</v>
      </c>
      <c r="C295" s="18" t="s">
        <v>245</v>
      </c>
      <c r="D295" s="18">
        <v>2</v>
      </c>
      <c r="E295" s="17">
        <v>181</v>
      </c>
      <c r="F295" s="17">
        <v>20850</v>
      </c>
      <c r="G295" s="17">
        <v>19727</v>
      </c>
      <c r="H295" s="23">
        <f t="shared" si="4"/>
        <v>1.0569270542910731</v>
      </c>
      <c r="I295" s="17" t="s">
        <v>275</v>
      </c>
    </row>
    <row r="296" spans="1:9" x14ac:dyDescent="0.3">
      <c r="A296" s="18">
        <v>60</v>
      </c>
      <c r="B296" s="40">
        <v>45380</v>
      </c>
      <c r="C296" s="18" t="s">
        <v>254</v>
      </c>
      <c r="D296" s="18">
        <v>3</v>
      </c>
      <c r="E296" s="17">
        <v>174</v>
      </c>
      <c r="F296" s="17">
        <v>11972</v>
      </c>
      <c r="G296" s="17">
        <v>12806</v>
      </c>
      <c r="H296" s="23">
        <f t="shared" si="4"/>
        <v>0.93487427768233644</v>
      </c>
      <c r="I296" s="17" t="s">
        <v>275</v>
      </c>
    </row>
    <row r="297" spans="1:9" x14ac:dyDescent="0.3">
      <c r="A297" s="18">
        <v>60</v>
      </c>
      <c r="B297" s="40">
        <v>45380</v>
      </c>
      <c r="C297" s="18" t="s">
        <v>252</v>
      </c>
      <c r="D297" s="18">
        <v>4</v>
      </c>
      <c r="E297" s="17">
        <v>172</v>
      </c>
      <c r="F297" s="17">
        <v>6278</v>
      </c>
      <c r="G297" s="17">
        <v>5534</v>
      </c>
      <c r="H297" s="23">
        <f t="shared" si="4"/>
        <v>1.134441633538128</v>
      </c>
      <c r="I297" s="17" t="s">
        <v>276</v>
      </c>
    </row>
    <row r="298" spans="1:9" x14ac:dyDescent="0.3">
      <c r="A298" s="18">
        <v>60</v>
      </c>
      <c r="B298" s="40">
        <v>45380</v>
      </c>
      <c r="C298" s="18" t="s">
        <v>277</v>
      </c>
      <c r="D298" s="18">
        <v>5</v>
      </c>
      <c r="E298" s="17">
        <v>123</v>
      </c>
      <c r="F298" s="17">
        <v>5069</v>
      </c>
      <c r="G298" s="17">
        <v>5165</v>
      </c>
      <c r="H298" s="23">
        <f t="shared" si="4"/>
        <v>0.98141335914811234</v>
      </c>
      <c r="I298" s="17" t="s">
        <v>276</v>
      </c>
    </row>
    <row r="299" spans="1:9" x14ac:dyDescent="0.3">
      <c r="A299" s="18">
        <v>60</v>
      </c>
      <c r="B299" s="40">
        <v>45380</v>
      </c>
      <c r="C299" s="18" t="s">
        <v>249</v>
      </c>
      <c r="D299" s="18">
        <v>6</v>
      </c>
      <c r="E299" s="17">
        <v>68</v>
      </c>
      <c r="F299" s="17">
        <v>957</v>
      </c>
      <c r="G299" s="17">
        <v>961</v>
      </c>
      <c r="H299" s="23">
        <f t="shared" si="4"/>
        <v>0.99583766909469307</v>
      </c>
      <c r="I299" s="17" t="s">
        <v>277</v>
      </c>
    </row>
    <row r="300" spans="1:9" x14ac:dyDescent="0.3">
      <c r="A300" s="18">
        <v>60</v>
      </c>
      <c r="B300" s="40">
        <v>45380</v>
      </c>
      <c r="C300" s="18" t="s">
        <v>278</v>
      </c>
      <c r="D300" s="18">
        <v>7</v>
      </c>
      <c r="E300" s="17">
        <v>61</v>
      </c>
      <c r="F300" s="17">
        <v>2492</v>
      </c>
      <c r="G300" s="17">
        <v>2785</v>
      </c>
      <c r="H300" s="23">
        <f t="shared" si="4"/>
        <v>0.89479353680430884</v>
      </c>
      <c r="I300" s="17" t="s">
        <v>279</v>
      </c>
    </row>
    <row r="301" spans="1:9" x14ac:dyDescent="0.3">
      <c r="A301" s="18">
        <v>60</v>
      </c>
      <c r="B301" s="40">
        <v>45380</v>
      </c>
      <c r="C301" s="18" t="s">
        <v>244</v>
      </c>
      <c r="D301" s="18">
        <v>8</v>
      </c>
      <c r="E301" s="17">
        <v>53</v>
      </c>
      <c r="F301" s="17">
        <v>375</v>
      </c>
      <c r="G301" s="17">
        <v>603</v>
      </c>
      <c r="H301" s="23">
        <f t="shared" si="4"/>
        <v>0.62189054726368154</v>
      </c>
      <c r="I301" s="17" t="s">
        <v>206</v>
      </c>
    </row>
    <row r="302" spans="1:9" x14ac:dyDescent="0.3">
      <c r="A302" s="18">
        <v>60</v>
      </c>
      <c r="B302" s="40">
        <v>45380</v>
      </c>
      <c r="C302" s="18" t="s">
        <v>259</v>
      </c>
      <c r="D302" s="18">
        <v>9</v>
      </c>
      <c r="E302" s="17">
        <v>53</v>
      </c>
      <c r="F302" s="17">
        <v>286</v>
      </c>
      <c r="G302" s="17">
        <v>466</v>
      </c>
      <c r="H302" s="23">
        <f t="shared" si="4"/>
        <v>0.61373390557939911</v>
      </c>
      <c r="I302" s="17" t="s">
        <v>206</v>
      </c>
    </row>
    <row r="303" spans="1:9" x14ac:dyDescent="0.3">
      <c r="A303" s="18">
        <v>60</v>
      </c>
      <c r="B303" s="40">
        <v>45380</v>
      </c>
      <c r="C303" s="18" t="s">
        <v>279</v>
      </c>
      <c r="D303" s="18">
        <v>10</v>
      </c>
      <c r="E303" s="17">
        <v>53</v>
      </c>
      <c r="F303" s="17">
        <v>1945</v>
      </c>
      <c r="G303" s="17">
        <v>2164</v>
      </c>
      <c r="H303" s="23">
        <f t="shared" si="4"/>
        <v>0.8987985212569316</v>
      </c>
      <c r="I303" s="17" t="s">
        <v>278</v>
      </c>
    </row>
    <row r="304" spans="1:9" x14ac:dyDescent="0.3">
      <c r="A304" s="18">
        <v>60</v>
      </c>
      <c r="B304" s="40">
        <v>45380</v>
      </c>
      <c r="C304" s="18" t="s">
        <v>258</v>
      </c>
      <c r="D304" s="18">
        <v>11</v>
      </c>
      <c r="E304" s="17">
        <v>47</v>
      </c>
      <c r="F304" s="17">
        <v>755</v>
      </c>
      <c r="G304" s="17">
        <v>1025</v>
      </c>
      <c r="H304" s="23">
        <f t="shared" si="4"/>
        <v>0.73658536585365852</v>
      </c>
      <c r="I304" s="17" t="s">
        <v>278</v>
      </c>
    </row>
    <row r="305" spans="1:9" x14ac:dyDescent="0.3">
      <c r="A305" s="18">
        <v>60</v>
      </c>
      <c r="B305" s="40">
        <v>45380</v>
      </c>
      <c r="C305" s="18" t="s">
        <v>264</v>
      </c>
      <c r="D305" s="18">
        <v>12</v>
      </c>
      <c r="E305" s="17">
        <v>33</v>
      </c>
      <c r="F305" s="17">
        <v>428</v>
      </c>
      <c r="G305" s="17">
        <v>603</v>
      </c>
      <c r="H305" s="23">
        <f t="shared" si="4"/>
        <v>0.70978441127694858</v>
      </c>
      <c r="I305" s="17" t="s">
        <v>279</v>
      </c>
    </row>
    <row r="306" spans="1:9" x14ac:dyDescent="0.3">
      <c r="A306" s="18">
        <v>60</v>
      </c>
      <c r="B306" s="40">
        <v>45380</v>
      </c>
      <c r="C306" s="18" t="s">
        <v>280</v>
      </c>
      <c r="D306" s="18">
        <v>13</v>
      </c>
      <c r="E306" s="17">
        <v>32</v>
      </c>
      <c r="F306" s="17">
        <v>312</v>
      </c>
      <c r="G306" s="17">
        <v>473</v>
      </c>
      <c r="H306" s="23">
        <f t="shared" si="4"/>
        <v>0.65961945031712477</v>
      </c>
      <c r="I306" s="17" t="s">
        <v>229</v>
      </c>
    </row>
    <row r="307" spans="1:9" x14ac:dyDescent="0.3">
      <c r="A307" s="18">
        <v>60</v>
      </c>
      <c r="B307" s="40">
        <v>45380</v>
      </c>
      <c r="C307" s="18" t="s">
        <v>246</v>
      </c>
      <c r="D307" s="18">
        <v>14</v>
      </c>
      <c r="E307" s="17">
        <v>21</v>
      </c>
      <c r="F307" s="17">
        <v>87</v>
      </c>
      <c r="G307" s="17">
        <v>162</v>
      </c>
      <c r="H307" s="23">
        <f t="shared" si="4"/>
        <v>0.53703703703703709</v>
      </c>
      <c r="I307" s="17" t="s">
        <v>275</v>
      </c>
    </row>
    <row r="308" spans="1:9" x14ac:dyDescent="0.3">
      <c r="A308" s="18">
        <v>60</v>
      </c>
      <c r="B308" s="40">
        <v>45380</v>
      </c>
      <c r="C308" s="18" t="s">
        <v>281</v>
      </c>
      <c r="D308" s="18">
        <v>15</v>
      </c>
      <c r="E308" s="17">
        <v>17</v>
      </c>
      <c r="F308" s="17">
        <v>233</v>
      </c>
      <c r="G308" s="17">
        <v>391</v>
      </c>
      <c r="H308" s="23">
        <f t="shared" si="4"/>
        <v>0.59590792838874684</v>
      </c>
      <c r="I308" s="17" t="s">
        <v>277</v>
      </c>
    </row>
    <row r="309" spans="1:9" x14ac:dyDescent="0.3">
      <c r="A309" s="18">
        <v>60</v>
      </c>
      <c r="B309" s="40">
        <v>45380</v>
      </c>
      <c r="C309" s="18" t="s">
        <v>273</v>
      </c>
      <c r="D309" s="18">
        <v>16</v>
      </c>
      <c r="E309" s="17">
        <v>15</v>
      </c>
      <c r="F309" s="17">
        <v>313</v>
      </c>
      <c r="G309" s="17">
        <v>375</v>
      </c>
      <c r="H309" s="23">
        <f t="shared" si="4"/>
        <v>0.83466666666666667</v>
      </c>
      <c r="I309" s="17" t="s">
        <v>278</v>
      </c>
    </row>
    <row r="310" spans="1:9" x14ac:dyDescent="0.3">
      <c r="A310" s="18">
        <v>60</v>
      </c>
      <c r="B310" s="40">
        <v>45380</v>
      </c>
      <c r="C310" s="18" t="s">
        <v>282</v>
      </c>
      <c r="D310" s="18">
        <v>17</v>
      </c>
      <c r="E310" s="17">
        <v>9</v>
      </c>
      <c r="F310" s="17">
        <v>77</v>
      </c>
      <c r="G310" s="17">
        <v>102</v>
      </c>
      <c r="H310" s="23">
        <f t="shared" si="4"/>
        <v>0.75490196078431371</v>
      </c>
      <c r="I310" s="17" t="s">
        <v>279</v>
      </c>
    </row>
    <row r="311" spans="1:9" x14ac:dyDescent="0.3">
      <c r="A311" s="18">
        <v>60</v>
      </c>
      <c r="B311" s="40">
        <v>45380</v>
      </c>
      <c r="C311" s="18" t="s">
        <v>283</v>
      </c>
      <c r="D311" s="18">
        <v>18</v>
      </c>
      <c r="E311" s="17">
        <v>8</v>
      </c>
      <c r="F311" s="17">
        <v>28</v>
      </c>
      <c r="G311" s="17">
        <v>43</v>
      </c>
      <c r="H311" s="23">
        <f t="shared" si="4"/>
        <v>0.65116279069767447</v>
      </c>
      <c r="I311" s="17" t="s">
        <v>277</v>
      </c>
    </row>
    <row r="312" spans="1:9" x14ac:dyDescent="0.3">
      <c r="A312" s="18">
        <v>60</v>
      </c>
      <c r="B312" s="40">
        <v>45380</v>
      </c>
      <c r="C312" s="18" t="s">
        <v>266</v>
      </c>
      <c r="D312" s="18">
        <v>19</v>
      </c>
      <c r="E312" s="17">
        <v>7</v>
      </c>
      <c r="F312" s="17">
        <v>51</v>
      </c>
      <c r="G312" s="17">
        <v>102</v>
      </c>
      <c r="H312" s="23">
        <f t="shared" si="4"/>
        <v>0.5</v>
      </c>
      <c r="I312" s="17" t="s">
        <v>278</v>
      </c>
    </row>
    <row r="313" spans="1:9" x14ac:dyDescent="0.3">
      <c r="A313" s="18">
        <v>60</v>
      </c>
      <c r="B313" s="40">
        <v>45380</v>
      </c>
      <c r="C313" s="18" t="s">
        <v>284</v>
      </c>
      <c r="D313" s="18">
        <v>20</v>
      </c>
      <c r="E313" s="17">
        <v>7</v>
      </c>
      <c r="F313" s="17">
        <v>16</v>
      </c>
      <c r="G313" s="17">
        <v>391</v>
      </c>
      <c r="H313" s="23">
        <f t="shared" si="4"/>
        <v>4.0920716112531973E-2</v>
      </c>
      <c r="I313" s="17" t="s">
        <v>281</v>
      </c>
    </row>
    <row r="314" spans="1:9" x14ac:dyDescent="0.3">
      <c r="A314" s="18">
        <v>60</v>
      </c>
      <c r="B314" s="40">
        <v>45380</v>
      </c>
      <c r="C314" s="18" t="s">
        <v>285</v>
      </c>
      <c r="D314" s="18">
        <v>21</v>
      </c>
      <c r="E314" s="17">
        <v>6</v>
      </c>
      <c r="F314" s="17">
        <v>24</v>
      </c>
      <c r="G314" s="17">
        <v>48</v>
      </c>
      <c r="H314" s="23">
        <f t="shared" si="4"/>
        <v>0.5</v>
      </c>
      <c r="I314" s="17" t="s">
        <v>278</v>
      </c>
    </row>
    <row r="315" spans="1:9" x14ac:dyDescent="0.3">
      <c r="A315" s="18">
        <v>60</v>
      </c>
      <c r="B315" s="40">
        <v>45380</v>
      </c>
      <c r="C315" s="18" t="s">
        <v>286</v>
      </c>
      <c r="D315" s="18">
        <v>22</v>
      </c>
      <c r="E315" s="17">
        <v>5</v>
      </c>
      <c r="F315" s="17">
        <v>29</v>
      </c>
      <c r="G315" s="17">
        <v>45</v>
      </c>
      <c r="H315" s="23">
        <f t="shared" si="4"/>
        <v>0.64444444444444449</v>
      </c>
      <c r="I315" s="17" t="s">
        <v>245</v>
      </c>
    </row>
    <row r="316" spans="1:9" x14ac:dyDescent="0.3">
      <c r="A316" s="18">
        <v>60</v>
      </c>
      <c r="B316" s="40">
        <v>45380</v>
      </c>
      <c r="C316" s="18" t="s">
        <v>287</v>
      </c>
      <c r="D316" s="18">
        <v>23</v>
      </c>
      <c r="E316" s="17">
        <v>2</v>
      </c>
      <c r="F316" s="17">
        <v>7</v>
      </c>
      <c r="G316" s="17">
        <v>9</v>
      </c>
      <c r="H316" s="23">
        <f t="shared" si="4"/>
        <v>0.77777777777777779</v>
      </c>
      <c r="I316" s="17" t="s">
        <v>288</v>
      </c>
    </row>
    <row r="317" spans="1:9" x14ac:dyDescent="0.3">
      <c r="A317" s="18">
        <v>61</v>
      </c>
      <c r="B317" s="40">
        <v>45387</v>
      </c>
      <c r="C317" s="18" t="s">
        <v>289</v>
      </c>
      <c r="D317" s="18">
        <v>1</v>
      </c>
      <c r="E317" s="17">
        <v>253</v>
      </c>
      <c r="F317" s="17">
        <v>17933</v>
      </c>
      <c r="G317" s="17">
        <v>15195</v>
      </c>
      <c r="H317" s="23">
        <f t="shared" si="4"/>
        <v>1.180190852254031</v>
      </c>
      <c r="I317" s="17" t="s">
        <v>245</v>
      </c>
    </row>
    <row r="318" spans="1:9" x14ac:dyDescent="0.3">
      <c r="A318" s="18">
        <v>61</v>
      </c>
      <c r="B318" s="40">
        <v>45387</v>
      </c>
      <c r="C318" s="18" t="s">
        <v>266</v>
      </c>
      <c r="D318" s="18">
        <v>2</v>
      </c>
      <c r="E318" s="17">
        <v>253</v>
      </c>
      <c r="F318" s="17">
        <v>26361</v>
      </c>
      <c r="G318" s="17">
        <v>21955</v>
      </c>
      <c r="H318" s="23">
        <f t="shared" si="4"/>
        <v>1.2006832156684126</v>
      </c>
      <c r="I318" s="17" t="s">
        <v>245</v>
      </c>
    </row>
    <row r="319" spans="1:9" x14ac:dyDescent="0.3">
      <c r="A319" s="18">
        <v>61</v>
      </c>
      <c r="B319" s="40">
        <v>45387</v>
      </c>
      <c r="C319" s="18" t="s">
        <v>254</v>
      </c>
      <c r="D319" s="18">
        <v>3</v>
      </c>
      <c r="E319" s="17">
        <v>253</v>
      </c>
      <c r="F319" s="17">
        <v>17040</v>
      </c>
      <c r="G319" s="17">
        <v>17120</v>
      </c>
      <c r="H319" s="23">
        <f t="shared" si="4"/>
        <v>0.99532710280373837</v>
      </c>
      <c r="I319" s="17" t="s">
        <v>290</v>
      </c>
    </row>
    <row r="320" spans="1:9" x14ac:dyDescent="0.3">
      <c r="A320" s="18">
        <v>61</v>
      </c>
      <c r="B320" s="40">
        <v>45387</v>
      </c>
      <c r="C320" s="18" t="s">
        <v>244</v>
      </c>
      <c r="D320" s="18">
        <v>4</v>
      </c>
      <c r="E320" s="17">
        <v>253</v>
      </c>
      <c r="F320" s="17">
        <v>11216</v>
      </c>
      <c r="G320" s="17">
        <v>11156</v>
      </c>
      <c r="H320" s="23">
        <f t="shared" si="4"/>
        <v>1.0053782717820008</v>
      </c>
      <c r="I320" s="17" t="s">
        <v>266</v>
      </c>
    </row>
    <row r="321" spans="1:9" x14ac:dyDescent="0.3">
      <c r="A321" s="18">
        <v>61</v>
      </c>
      <c r="B321" s="40">
        <v>45387</v>
      </c>
      <c r="C321" s="18" t="s">
        <v>245</v>
      </c>
      <c r="D321" s="18">
        <v>5</v>
      </c>
      <c r="E321" s="17">
        <v>253</v>
      </c>
      <c r="F321" s="17">
        <v>29717</v>
      </c>
      <c r="G321" s="17">
        <v>32421</v>
      </c>
      <c r="H321" s="23">
        <f t="shared" si="4"/>
        <v>0.91659726720335588</v>
      </c>
      <c r="I321" s="17" t="s">
        <v>254</v>
      </c>
    </row>
    <row r="322" spans="1:9" x14ac:dyDescent="0.3">
      <c r="A322" s="18">
        <v>61</v>
      </c>
      <c r="B322" s="40">
        <v>45387</v>
      </c>
      <c r="C322" s="18" t="s">
        <v>273</v>
      </c>
      <c r="D322" s="18">
        <v>6</v>
      </c>
      <c r="E322" s="17">
        <v>186</v>
      </c>
      <c r="F322" s="17">
        <v>2285</v>
      </c>
      <c r="G322" s="17">
        <v>3019</v>
      </c>
      <c r="H322" s="23">
        <f t="shared" ref="H322:H385" si="5">F322/G322</f>
        <v>0.75687313680026502</v>
      </c>
      <c r="I322" s="17" t="s">
        <v>266</v>
      </c>
    </row>
    <row r="323" spans="1:9" x14ac:dyDescent="0.3">
      <c r="A323" s="18">
        <v>61</v>
      </c>
      <c r="B323" s="40">
        <v>45387</v>
      </c>
      <c r="C323" s="18" t="s">
        <v>253</v>
      </c>
      <c r="D323" s="18">
        <v>7</v>
      </c>
      <c r="E323" s="17">
        <v>144</v>
      </c>
      <c r="F323" s="17">
        <v>1738</v>
      </c>
      <c r="G323" s="17">
        <v>2316</v>
      </c>
      <c r="H323" s="23">
        <f t="shared" si="5"/>
        <v>0.75043177892918822</v>
      </c>
      <c r="I323" s="17" t="s">
        <v>266</v>
      </c>
    </row>
    <row r="324" spans="1:9" x14ac:dyDescent="0.3">
      <c r="A324" s="18">
        <v>61</v>
      </c>
      <c r="B324" s="40">
        <v>45387</v>
      </c>
      <c r="C324" s="18" t="s">
        <v>131</v>
      </c>
      <c r="D324" s="18">
        <v>8</v>
      </c>
      <c r="E324" s="17">
        <v>120</v>
      </c>
      <c r="F324" s="17">
        <v>2105</v>
      </c>
      <c r="G324" s="17">
        <v>2893</v>
      </c>
      <c r="H324" s="23">
        <f t="shared" si="5"/>
        <v>0.72761838921534738</v>
      </c>
      <c r="I324" s="17" t="s">
        <v>244</v>
      </c>
    </row>
    <row r="325" spans="1:9" x14ac:dyDescent="0.3">
      <c r="A325" s="18">
        <v>61</v>
      </c>
      <c r="B325" s="40">
        <v>45387</v>
      </c>
      <c r="C325" s="18" t="s">
        <v>264</v>
      </c>
      <c r="D325" s="18">
        <v>9</v>
      </c>
      <c r="E325" s="17">
        <v>51</v>
      </c>
      <c r="F325" s="17">
        <v>1028</v>
      </c>
      <c r="G325" s="17">
        <v>1376</v>
      </c>
      <c r="H325" s="23">
        <f t="shared" si="5"/>
        <v>0.74709302325581395</v>
      </c>
      <c r="I325" s="17" t="s">
        <v>266</v>
      </c>
    </row>
    <row r="326" spans="1:9" x14ac:dyDescent="0.3">
      <c r="A326" s="18">
        <v>61</v>
      </c>
      <c r="B326" s="40">
        <v>45387</v>
      </c>
      <c r="C326" s="18" t="s">
        <v>246</v>
      </c>
      <c r="D326" s="18">
        <v>10</v>
      </c>
      <c r="E326" s="17">
        <v>33</v>
      </c>
      <c r="F326" s="17">
        <v>373</v>
      </c>
      <c r="G326" s="17">
        <v>498</v>
      </c>
      <c r="H326" s="23">
        <f t="shared" si="5"/>
        <v>0.74899598393574296</v>
      </c>
      <c r="I326" s="17" t="s">
        <v>266</v>
      </c>
    </row>
    <row r="327" spans="1:9" x14ac:dyDescent="0.3">
      <c r="A327" s="18">
        <v>61</v>
      </c>
      <c r="B327" s="40">
        <v>45387</v>
      </c>
      <c r="C327" s="18" t="s">
        <v>291</v>
      </c>
      <c r="D327" s="18">
        <v>11</v>
      </c>
      <c r="E327" s="17">
        <v>26</v>
      </c>
      <c r="F327" s="17">
        <v>503</v>
      </c>
      <c r="G327" s="17">
        <v>999</v>
      </c>
      <c r="H327" s="23">
        <f t="shared" si="5"/>
        <v>0.50350350350350348</v>
      </c>
      <c r="I327" s="17" t="s">
        <v>245</v>
      </c>
    </row>
    <row r="328" spans="1:9" x14ac:dyDescent="0.3">
      <c r="A328" s="18">
        <v>61</v>
      </c>
      <c r="B328" s="40">
        <v>45387</v>
      </c>
      <c r="C328" s="18" t="s">
        <v>292</v>
      </c>
      <c r="D328" s="18">
        <v>12</v>
      </c>
      <c r="E328" s="17">
        <v>24</v>
      </c>
      <c r="F328" s="17">
        <v>206</v>
      </c>
      <c r="G328" s="17">
        <v>382</v>
      </c>
      <c r="H328" s="23">
        <f t="shared" si="5"/>
        <v>0.53926701570680624</v>
      </c>
      <c r="I328" s="17" t="s">
        <v>264</v>
      </c>
    </row>
    <row r="329" spans="1:9" x14ac:dyDescent="0.3">
      <c r="A329" s="18">
        <v>61</v>
      </c>
      <c r="B329" s="40">
        <v>45387</v>
      </c>
      <c r="C329" s="18" t="s">
        <v>271</v>
      </c>
      <c r="D329" s="18">
        <v>13</v>
      </c>
      <c r="E329" s="17">
        <v>24</v>
      </c>
      <c r="F329" s="17">
        <v>62</v>
      </c>
      <c r="G329" s="17">
        <v>200</v>
      </c>
      <c r="H329" s="23">
        <f t="shared" si="5"/>
        <v>0.31</v>
      </c>
      <c r="I329" s="17" t="s">
        <v>245</v>
      </c>
    </row>
    <row r="330" spans="1:9" x14ac:dyDescent="0.3">
      <c r="A330" s="18">
        <v>61</v>
      </c>
      <c r="B330" s="40">
        <v>45387</v>
      </c>
      <c r="C330" s="18" t="s">
        <v>285</v>
      </c>
      <c r="D330" s="18">
        <v>14</v>
      </c>
      <c r="E330" s="17">
        <v>20</v>
      </c>
      <c r="F330" s="17">
        <v>84</v>
      </c>
      <c r="G330" s="17">
        <v>248</v>
      </c>
      <c r="H330" s="23">
        <f t="shared" si="5"/>
        <v>0.33870967741935482</v>
      </c>
      <c r="I330" s="17" t="s">
        <v>131</v>
      </c>
    </row>
    <row r="331" spans="1:9" x14ac:dyDescent="0.3">
      <c r="A331" s="18">
        <v>61</v>
      </c>
      <c r="B331" s="40">
        <v>45387</v>
      </c>
      <c r="C331" s="18" t="s">
        <v>293</v>
      </c>
      <c r="D331" s="18">
        <v>15</v>
      </c>
      <c r="E331" s="17">
        <v>20</v>
      </c>
      <c r="F331" s="17">
        <v>183</v>
      </c>
      <c r="G331" s="17">
        <v>358</v>
      </c>
      <c r="H331" s="23">
        <f t="shared" si="5"/>
        <v>0.51117318435754189</v>
      </c>
      <c r="I331" s="17" t="s">
        <v>294</v>
      </c>
    </row>
    <row r="332" spans="1:9" x14ac:dyDescent="0.3">
      <c r="A332" s="18">
        <v>61</v>
      </c>
      <c r="B332" s="40">
        <v>45387</v>
      </c>
      <c r="C332" s="18" t="s">
        <v>259</v>
      </c>
      <c r="D332" s="18">
        <v>16</v>
      </c>
      <c r="E332" s="17">
        <v>16</v>
      </c>
      <c r="F332" s="17">
        <v>153</v>
      </c>
      <c r="G332" s="17">
        <v>219</v>
      </c>
      <c r="H332" s="23">
        <f t="shared" si="5"/>
        <v>0.69863013698630139</v>
      </c>
      <c r="I332" s="17" t="s">
        <v>291</v>
      </c>
    </row>
    <row r="333" spans="1:9" x14ac:dyDescent="0.3">
      <c r="A333" s="18">
        <v>61</v>
      </c>
      <c r="B333" s="40">
        <v>45387</v>
      </c>
      <c r="C333" s="18" t="s">
        <v>281</v>
      </c>
      <c r="D333" s="18">
        <v>17</v>
      </c>
      <c r="E333" s="17">
        <v>13</v>
      </c>
      <c r="F333" s="17">
        <v>84</v>
      </c>
      <c r="G333" s="17">
        <v>176</v>
      </c>
      <c r="H333" s="23">
        <f t="shared" si="5"/>
        <v>0.47727272727272729</v>
      </c>
      <c r="I333" s="17" t="s">
        <v>246</v>
      </c>
    </row>
    <row r="334" spans="1:9" x14ac:dyDescent="0.3">
      <c r="A334" s="18">
        <v>61</v>
      </c>
      <c r="B334" s="40">
        <v>45387</v>
      </c>
      <c r="C334" s="18" t="s">
        <v>295</v>
      </c>
      <c r="D334" s="18">
        <v>18</v>
      </c>
      <c r="E334" s="17">
        <v>10</v>
      </c>
      <c r="F334" s="17">
        <v>89</v>
      </c>
      <c r="G334" s="17">
        <v>129</v>
      </c>
      <c r="H334" s="23">
        <f t="shared" si="5"/>
        <v>0.68992248062015504</v>
      </c>
      <c r="I334" s="17" t="s">
        <v>254</v>
      </c>
    </row>
    <row r="335" spans="1:9" x14ac:dyDescent="0.3">
      <c r="A335" s="18">
        <v>61</v>
      </c>
      <c r="B335" s="40">
        <v>45387</v>
      </c>
      <c r="C335" s="18" t="s">
        <v>282</v>
      </c>
      <c r="D335" s="18">
        <v>19</v>
      </c>
      <c r="E335" s="17">
        <v>8</v>
      </c>
      <c r="F335" s="17">
        <v>62</v>
      </c>
      <c r="G335" s="17">
        <v>94</v>
      </c>
      <c r="H335" s="23">
        <f t="shared" si="5"/>
        <v>0.65957446808510634</v>
      </c>
      <c r="I335" s="17" t="s">
        <v>245</v>
      </c>
    </row>
    <row r="336" spans="1:9" x14ac:dyDescent="0.3">
      <c r="A336" s="18">
        <v>61</v>
      </c>
      <c r="B336" s="40">
        <v>45387</v>
      </c>
      <c r="C336" s="18" t="s">
        <v>252</v>
      </c>
      <c r="D336" s="18">
        <v>20</v>
      </c>
      <c r="E336" s="17">
        <v>7</v>
      </c>
      <c r="F336" s="17">
        <v>38</v>
      </c>
      <c r="G336" s="17">
        <v>66</v>
      </c>
      <c r="H336" s="23">
        <f t="shared" si="5"/>
        <v>0.5757575757575758</v>
      </c>
      <c r="I336" s="17" t="s">
        <v>246</v>
      </c>
    </row>
    <row r="337" spans="1:9" x14ac:dyDescent="0.3">
      <c r="A337" s="18">
        <v>61</v>
      </c>
      <c r="B337" s="40">
        <v>45387</v>
      </c>
      <c r="C337" s="18" t="s">
        <v>296</v>
      </c>
      <c r="D337" s="18">
        <v>21</v>
      </c>
      <c r="E337" s="17">
        <v>5</v>
      </c>
      <c r="F337" s="17">
        <v>29</v>
      </c>
      <c r="G337" s="17">
        <v>59</v>
      </c>
      <c r="H337" s="23">
        <f t="shared" si="5"/>
        <v>0.49152542372881358</v>
      </c>
      <c r="I337" s="17" t="s">
        <v>259</v>
      </c>
    </row>
    <row r="338" spans="1:9" x14ac:dyDescent="0.3">
      <c r="A338" s="18">
        <v>61</v>
      </c>
      <c r="B338" s="40">
        <v>45387</v>
      </c>
      <c r="C338" s="18" t="s">
        <v>297</v>
      </c>
      <c r="D338" s="18">
        <v>22</v>
      </c>
      <c r="E338" s="17">
        <v>2</v>
      </c>
      <c r="F338" s="17">
        <v>5</v>
      </c>
      <c r="G338" s="17">
        <v>18</v>
      </c>
      <c r="H338" s="23">
        <f t="shared" si="5"/>
        <v>0.27777777777777779</v>
      </c>
      <c r="I338" s="17" t="s">
        <v>282</v>
      </c>
    </row>
    <row r="339" spans="1:9" x14ac:dyDescent="0.3">
      <c r="A339" s="18">
        <v>61</v>
      </c>
      <c r="B339" s="40">
        <v>45387</v>
      </c>
      <c r="C339" s="18" t="s">
        <v>298</v>
      </c>
      <c r="D339" s="18">
        <v>23</v>
      </c>
      <c r="E339" s="17">
        <v>2</v>
      </c>
      <c r="F339" s="17">
        <v>1</v>
      </c>
      <c r="G339" s="17">
        <v>3</v>
      </c>
      <c r="H339" s="23">
        <f t="shared" si="5"/>
        <v>0.33333333333333331</v>
      </c>
      <c r="I339" s="17" t="s">
        <v>292</v>
      </c>
    </row>
    <row r="340" spans="1:9" x14ac:dyDescent="0.3">
      <c r="A340" s="18">
        <v>62</v>
      </c>
      <c r="B340" s="40">
        <v>45394</v>
      </c>
      <c r="C340" s="18" t="s">
        <v>299</v>
      </c>
      <c r="D340" s="18">
        <v>1</v>
      </c>
      <c r="E340" s="17">
        <v>180</v>
      </c>
      <c r="F340" s="17">
        <v>17307</v>
      </c>
      <c r="G340" s="17">
        <v>11802</v>
      </c>
      <c r="H340" s="23">
        <f t="shared" si="5"/>
        <v>1.4664463650228774</v>
      </c>
      <c r="I340" s="17" t="s">
        <v>278</v>
      </c>
    </row>
    <row r="341" spans="1:9" x14ac:dyDescent="0.3">
      <c r="A341" s="18">
        <v>62</v>
      </c>
      <c r="B341" s="40">
        <v>45394</v>
      </c>
      <c r="C341" s="18" t="s">
        <v>244</v>
      </c>
      <c r="D341" s="18">
        <v>2</v>
      </c>
      <c r="E341" s="17">
        <v>180</v>
      </c>
      <c r="F341" s="17">
        <v>7365</v>
      </c>
      <c r="G341" s="17">
        <v>7518</v>
      </c>
      <c r="H341" s="23">
        <f t="shared" si="5"/>
        <v>0.97964884277733444</v>
      </c>
      <c r="I341" s="17" t="s">
        <v>266</v>
      </c>
    </row>
    <row r="342" spans="1:9" x14ac:dyDescent="0.3">
      <c r="A342" s="18">
        <v>62</v>
      </c>
      <c r="B342" s="40">
        <v>45394</v>
      </c>
      <c r="C342" s="18" t="s">
        <v>254</v>
      </c>
      <c r="D342" s="18">
        <v>3</v>
      </c>
      <c r="E342" s="17">
        <v>171</v>
      </c>
      <c r="F342" s="17">
        <v>9877</v>
      </c>
      <c r="G342" s="17">
        <v>8893</v>
      </c>
      <c r="H342" s="23">
        <f t="shared" si="5"/>
        <v>1.1106488249184752</v>
      </c>
      <c r="I342" s="17" t="s">
        <v>263</v>
      </c>
    </row>
    <row r="343" spans="1:9" x14ac:dyDescent="0.3">
      <c r="A343" s="18">
        <v>62</v>
      </c>
      <c r="B343" s="40">
        <v>45394</v>
      </c>
      <c r="C343" s="18" t="s">
        <v>263</v>
      </c>
      <c r="D343" s="18">
        <v>4</v>
      </c>
      <c r="E343" s="17">
        <v>154</v>
      </c>
      <c r="F343" s="17">
        <v>15328</v>
      </c>
      <c r="G343" s="17">
        <v>15425</v>
      </c>
      <c r="H343" s="23">
        <f t="shared" si="5"/>
        <v>0.99371150729335489</v>
      </c>
      <c r="I343" s="17" t="s">
        <v>254</v>
      </c>
    </row>
    <row r="344" spans="1:9" x14ac:dyDescent="0.3">
      <c r="A344" s="18">
        <v>62</v>
      </c>
      <c r="B344" s="40">
        <v>45394</v>
      </c>
      <c r="C344" s="18" t="s">
        <v>276</v>
      </c>
      <c r="D344" s="18">
        <v>5</v>
      </c>
      <c r="E344" s="17">
        <v>140</v>
      </c>
      <c r="F344" s="17">
        <v>5290</v>
      </c>
      <c r="G344" s="17">
        <v>4970</v>
      </c>
      <c r="H344" s="23">
        <f t="shared" si="5"/>
        <v>1.0643863179074446</v>
      </c>
      <c r="I344" s="17" t="s">
        <v>263</v>
      </c>
    </row>
    <row r="345" spans="1:9" x14ac:dyDescent="0.3">
      <c r="A345" s="18">
        <v>62</v>
      </c>
      <c r="B345" s="40">
        <v>45394</v>
      </c>
      <c r="C345" s="18" t="s">
        <v>278</v>
      </c>
      <c r="D345" s="18">
        <v>6</v>
      </c>
      <c r="E345" s="17">
        <v>108</v>
      </c>
      <c r="F345" s="17">
        <v>3760</v>
      </c>
      <c r="G345" s="17">
        <v>4970</v>
      </c>
      <c r="H345" s="23">
        <f t="shared" si="5"/>
        <v>0.75653923541247481</v>
      </c>
      <c r="I345" s="17" t="s">
        <v>266</v>
      </c>
    </row>
    <row r="346" spans="1:9" x14ac:dyDescent="0.3">
      <c r="A346" s="18">
        <v>62</v>
      </c>
      <c r="B346" s="40">
        <v>45394</v>
      </c>
      <c r="C346" s="18" t="s">
        <v>300</v>
      </c>
      <c r="D346" s="18">
        <v>7</v>
      </c>
      <c r="E346" s="17">
        <v>66</v>
      </c>
      <c r="F346" s="17">
        <v>713</v>
      </c>
      <c r="G346" s="17">
        <v>1863</v>
      </c>
      <c r="H346" s="23">
        <f t="shared" si="5"/>
        <v>0.38271604938271603</v>
      </c>
      <c r="I346" s="17" t="s">
        <v>266</v>
      </c>
    </row>
    <row r="347" spans="1:9" x14ac:dyDescent="0.3">
      <c r="A347" s="18">
        <v>62</v>
      </c>
      <c r="B347" s="40">
        <v>45394</v>
      </c>
      <c r="C347" s="18" t="s">
        <v>280</v>
      </c>
      <c r="D347" s="18">
        <v>8</v>
      </c>
      <c r="E347" s="17">
        <v>56</v>
      </c>
      <c r="F347" s="17">
        <v>1790</v>
      </c>
      <c r="G347" s="17">
        <v>3689</v>
      </c>
      <c r="H347" s="23">
        <f t="shared" si="5"/>
        <v>0.48522634860395769</v>
      </c>
      <c r="I347" s="17" t="s">
        <v>254</v>
      </c>
    </row>
    <row r="348" spans="1:9" x14ac:dyDescent="0.3">
      <c r="A348" s="18">
        <v>62</v>
      </c>
      <c r="B348" s="40">
        <v>45394</v>
      </c>
      <c r="C348" s="18" t="s">
        <v>252</v>
      </c>
      <c r="D348" s="18">
        <v>9</v>
      </c>
      <c r="E348" s="17">
        <v>51</v>
      </c>
      <c r="F348" s="17">
        <v>296</v>
      </c>
      <c r="G348" s="17">
        <v>434</v>
      </c>
      <c r="H348" s="23">
        <f t="shared" si="5"/>
        <v>0.6820276497695853</v>
      </c>
      <c r="I348" s="17" t="s">
        <v>245</v>
      </c>
    </row>
    <row r="349" spans="1:9" x14ac:dyDescent="0.3">
      <c r="A349" s="18">
        <v>62</v>
      </c>
      <c r="B349" s="40">
        <v>45394</v>
      </c>
      <c r="C349" s="18" t="s">
        <v>301</v>
      </c>
      <c r="D349" s="18">
        <v>10</v>
      </c>
      <c r="E349" s="17">
        <v>44</v>
      </c>
      <c r="F349" s="17">
        <v>1995</v>
      </c>
      <c r="G349" s="17">
        <v>1997</v>
      </c>
      <c r="H349" s="23">
        <f t="shared" si="5"/>
        <v>0.99899849774661997</v>
      </c>
      <c r="I349" s="17" t="s">
        <v>263</v>
      </c>
    </row>
    <row r="350" spans="1:9" x14ac:dyDescent="0.3">
      <c r="A350" s="18">
        <v>62</v>
      </c>
      <c r="B350" s="40">
        <v>45394</v>
      </c>
      <c r="C350" s="18" t="s">
        <v>255</v>
      </c>
      <c r="D350" s="18">
        <v>11</v>
      </c>
      <c r="E350" s="17">
        <v>21</v>
      </c>
      <c r="F350" s="17">
        <v>109</v>
      </c>
      <c r="G350" s="17">
        <v>183</v>
      </c>
      <c r="H350" s="23">
        <f t="shared" si="5"/>
        <v>0.59562841530054644</v>
      </c>
      <c r="I350" s="17" t="s">
        <v>266</v>
      </c>
    </row>
    <row r="351" spans="1:9" x14ac:dyDescent="0.3">
      <c r="A351" s="18">
        <v>62</v>
      </c>
      <c r="B351" s="40">
        <v>45394</v>
      </c>
      <c r="C351" s="18" t="s">
        <v>282</v>
      </c>
      <c r="D351" s="18">
        <v>12</v>
      </c>
      <c r="E351" s="17">
        <v>18</v>
      </c>
      <c r="F351" s="17">
        <v>220</v>
      </c>
      <c r="G351" s="17">
        <v>340</v>
      </c>
      <c r="H351" s="23">
        <f t="shared" si="5"/>
        <v>0.6470588235294118</v>
      </c>
      <c r="I351" s="17" t="s">
        <v>300</v>
      </c>
    </row>
    <row r="352" spans="1:9" x14ac:dyDescent="0.3">
      <c r="A352" s="18">
        <v>62</v>
      </c>
      <c r="B352" s="40">
        <v>45394</v>
      </c>
      <c r="C352" s="18" t="s">
        <v>302</v>
      </c>
      <c r="D352" s="18">
        <v>13</v>
      </c>
      <c r="E352" s="17">
        <v>14</v>
      </c>
      <c r="F352" s="17">
        <v>170</v>
      </c>
      <c r="G352" s="17">
        <v>113</v>
      </c>
      <c r="H352" s="23">
        <f t="shared" si="5"/>
        <v>1.5044247787610618</v>
      </c>
      <c r="I352" s="17" t="s">
        <v>254</v>
      </c>
    </row>
    <row r="353" spans="1:9" x14ac:dyDescent="0.3">
      <c r="A353" s="18">
        <v>62</v>
      </c>
      <c r="B353" s="40">
        <v>45394</v>
      </c>
      <c r="C353" s="18" t="s">
        <v>303</v>
      </c>
      <c r="D353" s="18">
        <v>14</v>
      </c>
      <c r="E353" s="17">
        <v>11</v>
      </c>
      <c r="F353" s="17">
        <v>78</v>
      </c>
      <c r="G353" s="17">
        <v>166</v>
      </c>
      <c r="H353" s="23">
        <f t="shared" si="5"/>
        <v>0.46987951807228917</v>
      </c>
      <c r="I353" s="17" t="s">
        <v>282</v>
      </c>
    </row>
    <row r="354" spans="1:9" x14ac:dyDescent="0.3">
      <c r="A354" s="18">
        <v>62</v>
      </c>
      <c r="B354" s="40">
        <v>45394</v>
      </c>
      <c r="C354" s="18" t="s">
        <v>304</v>
      </c>
      <c r="D354" s="18">
        <v>15</v>
      </c>
      <c r="E354" s="17">
        <v>10</v>
      </c>
      <c r="F354" s="17">
        <v>15</v>
      </c>
      <c r="G354" s="17">
        <v>157</v>
      </c>
      <c r="H354" s="23">
        <f t="shared" si="5"/>
        <v>9.5541401273885357E-2</v>
      </c>
      <c r="I354" s="17" t="s">
        <v>263</v>
      </c>
    </row>
    <row r="355" spans="1:9" x14ac:dyDescent="0.3">
      <c r="A355" s="18">
        <v>62</v>
      </c>
      <c r="B355" s="40">
        <v>45394</v>
      </c>
      <c r="C355" s="18" t="s">
        <v>259</v>
      </c>
      <c r="D355" s="18">
        <v>16</v>
      </c>
      <c r="E355" s="17">
        <v>10</v>
      </c>
      <c r="F355" s="17">
        <v>71</v>
      </c>
      <c r="G355" s="17">
        <v>82</v>
      </c>
      <c r="H355" s="23">
        <f t="shared" si="5"/>
        <v>0.86585365853658536</v>
      </c>
      <c r="I355" s="17" t="s">
        <v>302</v>
      </c>
    </row>
    <row r="356" spans="1:9" x14ac:dyDescent="0.3">
      <c r="A356" s="18">
        <v>62</v>
      </c>
      <c r="B356" s="40">
        <v>45394</v>
      </c>
      <c r="C356" s="18" t="s">
        <v>305</v>
      </c>
      <c r="D356" s="18">
        <v>17</v>
      </c>
      <c r="E356" s="17">
        <v>8</v>
      </c>
      <c r="F356" s="17">
        <v>11</v>
      </c>
      <c r="G356" s="17">
        <v>66</v>
      </c>
      <c r="H356" s="23">
        <f t="shared" si="5"/>
        <v>0.16666666666666666</v>
      </c>
      <c r="I356" s="17" t="s">
        <v>280</v>
      </c>
    </row>
    <row r="357" spans="1:9" x14ac:dyDescent="0.3">
      <c r="A357" s="18">
        <v>62</v>
      </c>
      <c r="B357" s="40">
        <v>45394</v>
      </c>
      <c r="C357" s="18" t="s">
        <v>306</v>
      </c>
      <c r="D357" s="18">
        <v>18</v>
      </c>
      <c r="E357" s="17">
        <v>7</v>
      </c>
      <c r="F357" s="17">
        <v>62</v>
      </c>
      <c r="G357" s="17">
        <v>83</v>
      </c>
      <c r="H357" s="23">
        <f t="shared" si="5"/>
        <v>0.74698795180722888</v>
      </c>
      <c r="I357" s="17" t="s">
        <v>307</v>
      </c>
    </row>
    <row r="358" spans="1:9" x14ac:dyDescent="0.3">
      <c r="A358" s="18">
        <v>62</v>
      </c>
      <c r="B358" s="40">
        <v>45394</v>
      </c>
      <c r="C358" s="18" t="s">
        <v>285</v>
      </c>
      <c r="D358" s="18">
        <v>19</v>
      </c>
      <c r="E358" s="17">
        <v>7</v>
      </c>
      <c r="F358" s="17">
        <v>46</v>
      </c>
      <c r="G358" s="17">
        <v>58</v>
      </c>
      <c r="H358" s="23">
        <f t="shared" si="5"/>
        <v>0.7931034482758621</v>
      </c>
      <c r="I358" s="17" t="s">
        <v>254</v>
      </c>
    </row>
    <row r="359" spans="1:9" x14ac:dyDescent="0.3">
      <c r="A359" s="18">
        <v>62</v>
      </c>
      <c r="B359" s="40">
        <v>45394</v>
      </c>
      <c r="C359" s="18" t="s">
        <v>308</v>
      </c>
      <c r="D359" s="18">
        <v>20</v>
      </c>
      <c r="E359" s="17">
        <v>5</v>
      </c>
      <c r="F359" s="17">
        <v>19</v>
      </c>
      <c r="G359" s="17">
        <v>37</v>
      </c>
      <c r="H359" s="23">
        <f t="shared" si="5"/>
        <v>0.51351351351351349</v>
      </c>
      <c r="I359" s="17" t="s">
        <v>301</v>
      </c>
    </row>
    <row r="360" spans="1:9" x14ac:dyDescent="0.3">
      <c r="A360" s="18">
        <v>62</v>
      </c>
      <c r="B360" s="40">
        <v>45394</v>
      </c>
      <c r="C360" s="18" t="s">
        <v>309</v>
      </c>
      <c r="D360" s="18">
        <v>21</v>
      </c>
      <c r="E360" s="17">
        <v>4</v>
      </c>
      <c r="F360" s="17">
        <v>10</v>
      </c>
      <c r="G360" s="17">
        <v>24</v>
      </c>
      <c r="H360" s="23">
        <f t="shared" si="5"/>
        <v>0.41666666666666669</v>
      </c>
      <c r="I360" s="17" t="s">
        <v>307</v>
      </c>
    </row>
    <row r="361" spans="1:9" x14ac:dyDescent="0.3">
      <c r="A361" s="18">
        <v>62</v>
      </c>
      <c r="B361" s="40">
        <v>45394</v>
      </c>
      <c r="C361" s="18" t="s">
        <v>307</v>
      </c>
      <c r="D361" s="18">
        <v>22</v>
      </c>
      <c r="E361" s="17">
        <v>0</v>
      </c>
      <c r="F361" s="17">
        <v>117</v>
      </c>
      <c r="G361" s="17">
        <v>210</v>
      </c>
      <c r="H361" s="23">
        <f t="shared" si="5"/>
        <v>0.55714285714285716</v>
      </c>
      <c r="I361" s="17" t="s">
        <v>302</v>
      </c>
    </row>
    <row r="362" spans="1:9" x14ac:dyDescent="0.3">
      <c r="A362" s="18">
        <v>63</v>
      </c>
      <c r="B362" s="40">
        <v>45401</v>
      </c>
      <c r="C362" s="18" t="s">
        <v>289</v>
      </c>
      <c r="D362" s="18">
        <v>1</v>
      </c>
      <c r="E362" s="17">
        <v>117</v>
      </c>
      <c r="F362" s="17">
        <v>4747</v>
      </c>
      <c r="G362" s="17">
        <v>2551</v>
      </c>
      <c r="H362" s="23">
        <f t="shared" si="5"/>
        <v>1.8608388867110937</v>
      </c>
      <c r="I362" s="17" t="s">
        <v>245</v>
      </c>
    </row>
    <row r="363" spans="1:9" x14ac:dyDescent="0.3">
      <c r="A363" s="18">
        <v>63</v>
      </c>
      <c r="B363" s="40">
        <v>45401</v>
      </c>
      <c r="C363" s="18" t="s">
        <v>245</v>
      </c>
      <c r="D363" s="18">
        <v>2</v>
      </c>
      <c r="E363" s="17">
        <v>117</v>
      </c>
      <c r="F363" s="17">
        <v>6395</v>
      </c>
      <c r="G363" s="17">
        <v>6504</v>
      </c>
      <c r="H363" s="23">
        <f t="shared" si="5"/>
        <v>0.98324108241082409</v>
      </c>
      <c r="I363" s="17" t="s">
        <v>279</v>
      </c>
    </row>
    <row r="364" spans="1:9" x14ac:dyDescent="0.3">
      <c r="A364" s="18">
        <v>63</v>
      </c>
      <c r="B364" s="40">
        <v>45401</v>
      </c>
      <c r="C364" s="18" t="s">
        <v>310</v>
      </c>
      <c r="D364" s="18">
        <v>3</v>
      </c>
      <c r="E364" s="17">
        <v>117</v>
      </c>
      <c r="F364" s="17">
        <v>3266</v>
      </c>
      <c r="G364" s="17">
        <v>3501</v>
      </c>
      <c r="H364" s="23">
        <f t="shared" si="5"/>
        <v>0.93287632105112828</v>
      </c>
      <c r="I364" s="17" t="s">
        <v>311</v>
      </c>
    </row>
    <row r="365" spans="1:9" x14ac:dyDescent="0.3">
      <c r="A365" s="18">
        <v>63</v>
      </c>
      <c r="B365" s="40">
        <v>45401</v>
      </c>
      <c r="C365" s="18" t="s">
        <v>279</v>
      </c>
      <c r="D365" s="18">
        <v>4</v>
      </c>
      <c r="E365" s="17">
        <v>117</v>
      </c>
      <c r="F365" s="17">
        <v>6250</v>
      </c>
      <c r="G365" s="17">
        <v>5683</v>
      </c>
      <c r="H365" s="23">
        <f t="shared" si="5"/>
        <v>1.0997712475805033</v>
      </c>
      <c r="I365" s="17" t="s">
        <v>245</v>
      </c>
    </row>
    <row r="366" spans="1:9" x14ac:dyDescent="0.3">
      <c r="A366" s="18">
        <v>63</v>
      </c>
      <c r="B366" s="40">
        <v>45401</v>
      </c>
      <c r="C366" s="18" t="s">
        <v>237</v>
      </c>
      <c r="D366" s="18">
        <v>5</v>
      </c>
      <c r="E366" s="17">
        <v>117</v>
      </c>
      <c r="F366" s="17">
        <v>5402</v>
      </c>
      <c r="G366" s="17">
        <v>5593</v>
      </c>
      <c r="H366" s="23">
        <f t="shared" si="5"/>
        <v>0.96585016985517613</v>
      </c>
      <c r="I366" s="17" t="s">
        <v>172</v>
      </c>
    </row>
    <row r="367" spans="1:9" x14ac:dyDescent="0.3">
      <c r="A367" s="18">
        <v>63</v>
      </c>
      <c r="B367" s="40">
        <v>45401</v>
      </c>
      <c r="C367" s="18" t="s">
        <v>172</v>
      </c>
      <c r="D367" s="18">
        <v>6</v>
      </c>
      <c r="E367" s="17">
        <v>94</v>
      </c>
      <c r="F367" s="17">
        <v>5430</v>
      </c>
      <c r="G367" s="17">
        <v>5468</v>
      </c>
      <c r="H367" s="23">
        <f t="shared" si="5"/>
        <v>0.993050475493782</v>
      </c>
      <c r="I367" s="17" t="s">
        <v>237</v>
      </c>
    </row>
    <row r="368" spans="1:9" x14ac:dyDescent="0.3">
      <c r="A368" s="18">
        <v>63</v>
      </c>
      <c r="B368" s="40">
        <v>45401</v>
      </c>
      <c r="C368" s="18" t="s">
        <v>311</v>
      </c>
      <c r="D368" s="18">
        <v>7</v>
      </c>
      <c r="E368" s="17">
        <v>66</v>
      </c>
      <c r="F368" s="17">
        <v>1597</v>
      </c>
      <c r="G368" s="17">
        <v>1496</v>
      </c>
      <c r="H368" s="23">
        <f t="shared" si="5"/>
        <v>1.0675133689839573</v>
      </c>
      <c r="I368" s="17" t="s">
        <v>310</v>
      </c>
    </row>
    <row r="369" spans="1:9" x14ac:dyDescent="0.3">
      <c r="A369" s="18">
        <v>63</v>
      </c>
      <c r="B369" s="40">
        <v>45401</v>
      </c>
      <c r="C369" s="18" t="s">
        <v>301</v>
      </c>
      <c r="D369" s="18">
        <v>8</v>
      </c>
      <c r="E369" s="17">
        <v>54</v>
      </c>
      <c r="F369" s="17">
        <v>3579</v>
      </c>
      <c r="G369" s="17">
        <v>3757</v>
      </c>
      <c r="H369" s="23">
        <f t="shared" si="5"/>
        <v>0.95262177269097681</v>
      </c>
      <c r="I369" s="17" t="s">
        <v>237</v>
      </c>
    </row>
    <row r="370" spans="1:9" x14ac:dyDescent="0.3">
      <c r="A370" s="18">
        <v>63</v>
      </c>
      <c r="B370" s="40">
        <v>45401</v>
      </c>
      <c r="C370" s="18" t="s">
        <v>312</v>
      </c>
      <c r="D370" s="18">
        <v>9</v>
      </c>
      <c r="E370" s="17">
        <v>44</v>
      </c>
      <c r="F370" s="17">
        <v>560</v>
      </c>
      <c r="G370" s="17">
        <v>832</v>
      </c>
      <c r="H370" s="23">
        <f t="shared" si="5"/>
        <v>0.67307692307692313</v>
      </c>
      <c r="I370" s="17" t="s">
        <v>172</v>
      </c>
    </row>
    <row r="371" spans="1:9" x14ac:dyDescent="0.3">
      <c r="A371" s="18">
        <v>63</v>
      </c>
      <c r="B371" s="40">
        <v>45401</v>
      </c>
      <c r="C371" s="18" t="s">
        <v>252</v>
      </c>
      <c r="D371" s="18">
        <v>10</v>
      </c>
      <c r="E371" s="17">
        <v>28</v>
      </c>
      <c r="F371" s="17">
        <v>570</v>
      </c>
      <c r="G371" s="17">
        <v>677</v>
      </c>
      <c r="H371" s="23">
        <f t="shared" si="5"/>
        <v>0.84194977843426888</v>
      </c>
      <c r="I371" s="17" t="s">
        <v>245</v>
      </c>
    </row>
    <row r="372" spans="1:9" x14ac:dyDescent="0.3">
      <c r="A372" s="18">
        <v>63</v>
      </c>
      <c r="B372" s="40">
        <v>45401</v>
      </c>
      <c r="C372" s="18" t="s">
        <v>244</v>
      </c>
      <c r="D372" s="18">
        <v>11</v>
      </c>
      <c r="E372" s="17">
        <v>22</v>
      </c>
      <c r="F372" s="17">
        <v>378</v>
      </c>
      <c r="G372" s="17">
        <v>379</v>
      </c>
      <c r="H372" s="23">
        <f t="shared" si="5"/>
        <v>0.99736147757255933</v>
      </c>
      <c r="I372" s="17" t="s">
        <v>251</v>
      </c>
    </row>
    <row r="373" spans="1:9" x14ac:dyDescent="0.3">
      <c r="A373" s="18">
        <v>63</v>
      </c>
      <c r="B373" s="40">
        <v>45401</v>
      </c>
      <c r="C373" s="18" t="s">
        <v>251</v>
      </c>
      <c r="D373" s="18">
        <v>12</v>
      </c>
      <c r="E373" s="17">
        <v>20</v>
      </c>
      <c r="F373" s="17">
        <v>348</v>
      </c>
      <c r="G373" s="17">
        <v>295</v>
      </c>
      <c r="H373" s="23">
        <f t="shared" si="5"/>
        <v>1.1796610169491526</v>
      </c>
      <c r="I373" s="17" t="s">
        <v>244</v>
      </c>
    </row>
    <row r="374" spans="1:9" x14ac:dyDescent="0.3">
      <c r="A374" s="18">
        <v>63</v>
      </c>
      <c r="B374" s="40">
        <v>45401</v>
      </c>
      <c r="C374" s="18" t="s">
        <v>313</v>
      </c>
      <c r="D374" s="18">
        <v>13</v>
      </c>
      <c r="E374" s="17">
        <v>13</v>
      </c>
      <c r="F374" s="17">
        <v>110</v>
      </c>
      <c r="G374" s="17">
        <v>111</v>
      </c>
      <c r="H374" s="23">
        <f t="shared" si="5"/>
        <v>0.99099099099099097</v>
      </c>
      <c r="I374" s="17" t="s">
        <v>279</v>
      </c>
    </row>
    <row r="375" spans="1:9" x14ac:dyDescent="0.3">
      <c r="A375" s="18">
        <v>63</v>
      </c>
      <c r="B375" s="40">
        <v>45401</v>
      </c>
      <c r="C375" s="18" t="s">
        <v>314</v>
      </c>
      <c r="D375" s="18">
        <v>14</v>
      </c>
      <c r="E375" s="17">
        <v>12</v>
      </c>
      <c r="F375" s="17">
        <v>94</v>
      </c>
      <c r="G375" s="17">
        <v>147</v>
      </c>
      <c r="H375" s="23">
        <f t="shared" si="5"/>
        <v>0.63945578231292521</v>
      </c>
      <c r="I375" s="17" t="s">
        <v>312</v>
      </c>
    </row>
    <row r="376" spans="1:9" x14ac:dyDescent="0.3">
      <c r="A376" s="18">
        <v>63</v>
      </c>
      <c r="B376" s="40">
        <v>45401</v>
      </c>
      <c r="C376" s="18" t="s">
        <v>315</v>
      </c>
      <c r="D376" s="18">
        <v>15</v>
      </c>
      <c r="E376" s="17">
        <v>10</v>
      </c>
      <c r="F376" s="17">
        <v>42</v>
      </c>
      <c r="G376" s="17">
        <v>98</v>
      </c>
      <c r="H376" s="23">
        <f t="shared" si="5"/>
        <v>0.42857142857142855</v>
      </c>
      <c r="I376" s="17" t="s">
        <v>289</v>
      </c>
    </row>
    <row r="377" spans="1:9" x14ac:dyDescent="0.3">
      <c r="A377" s="18">
        <v>63</v>
      </c>
      <c r="B377" s="40">
        <v>45401</v>
      </c>
      <c r="C377" s="18" t="s">
        <v>316</v>
      </c>
      <c r="D377" s="18">
        <v>16</v>
      </c>
      <c r="E377" s="17">
        <v>10</v>
      </c>
      <c r="F377" s="17">
        <v>33</v>
      </c>
      <c r="G377" s="17">
        <v>68</v>
      </c>
      <c r="H377" s="23">
        <f t="shared" si="5"/>
        <v>0.48529411764705882</v>
      </c>
      <c r="I377" s="17" t="s">
        <v>289</v>
      </c>
    </row>
    <row r="378" spans="1:9" x14ac:dyDescent="0.3">
      <c r="A378" s="18">
        <v>63</v>
      </c>
      <c r="B378" s="40">
        <v>45401</v>
      </c>
      <c r="C378" s="18" t="s">
        <v>317</v>
      </c>
      <c r="D378" s="18">
        <v>17</v>
      </c>
      <c r="E378" s="17">
        <v>9</v>
      </c>
      <c r="F378" s="17">
        <v>34</v>
      </c>
      <c r="G378" s="17">
        <v>67</v>
      </c>
      <c r="H378" s="23">
        <f t="shared" si="5"/>
        <v>0.5074626865671642</v>
      </c>
      <c r="I378" s="17" t="s">
        <v>310</v>
      </c>
    </row>
    <row r="379" spans="1:9" x14ac:dyDescent="0.3">
      <c r="A379" s="18">
        <v>63</v>
      </c>
      <c r="B379" s="40">
        <v>45401</v>
      </c>
      <c r="C379" s="18" t="s">
        <v>259</v>
      </c>
      <c r="D379" s="18">
        <v>18</v>
      </c>
      <c r="E379" s="17">
        <v>8</v>
      </c>
      <c r="F379" s="17">
        <v>66</v>
      </c>
      <c r="G379" s="17">
        <v>107</v>
      </c>
      <c r="H379" s="23">
        <f t="shared" si="5"/>
        <v>0.61682242990654201</v>
      </c>
      <c r="I379" s="17" t="s">
        <v>245</v>
      </c>
    </row>
    <row r="380" spans="1:9" x14ac:dyDescent="0.3">
      <c r="A380" s="18">
        <v>63</v>
      </c>
      <c r="B380" s="40">
        <v>45401</v>
      </c>
      <c r="C380" s="17" t="s">
        <v>262</v>
      </c>
      <c r="D380" s="18">
        <v>19</v>
      </c>
      <c r="E380" s="17">
        <v>7</v>
      </c>
      <c r="F380" s="17">
        <v>80</v>
      </c>
      <c r="G380" s="17">
        <v>109</v>
      </c>
      <c r="H380" s="23">
        <f t="shared" si="5"/>
        <v>0.73394495412844041</v>
      </c>
      <c r="I380" s="17" t="s">
        <v>301</v>
      </c>
    </row>
    <row r="381" spans="1:9" x14ac:dyDescent="0.3">
      <c r="A381" s="18">
        <v>63</v>
      </c>
      <c r="B381" s="40">
        <v>45401</v>
      </c>
      <c r="C381" s="18" t="s">
        <v>254</v>
      </c>
      <c r="D381" s="18">
        <v>20</v>
      </c>
      <c r="E381" s="17">
        <v>7</v>
      </c>
      <c r="F381" s="17">
        <v>20</v>
      </c>
      <c r="G381" s="17">
        <v>58</v>
      </c>
      <c r="H381" s="23">
        <f t="shared" si="5"/>
        <v>0.34482758620689657</v>
      </c>
      <c r="I381" s="17" t="s">
        <v>251</v>
      </c>
    </row>
    <row r="382" spans="1:9" x14ac:dyDescent="0.3">
      <c r="A382" s="18">
        <v>63</v>
      </c>
      <c r="B382" s="40">
        <v>45401</v>
      </c>
      <c r="C382" s="18" t="s">
        <v>282</v>
      </c>
      <c r="D382" s="18">
        <v>21</v>
      </c>
      <c r="E382" s="17">
        <v>6</v>
      </c>
      <c r="F382" s="17">
        <v>37</v>
      </c>
      <c r="G382" s="17">
        <v>49</v>
      </c>
      <c r="H382" s="23">
        <f t="shared" si="5"/>
        <v>0.75510204081632648</v>
      </c>
      <c r="I382" s="17" t="s">
        <v>279</v>
      </c>
    </row>
    <row r="383" spans="1:9" x14ac:dyDescent="0.3">
      <c r="A383" s="18">
        <v>63</v>
      </c>
      <c r="B383" s="40">
        <v>45401</v>
      </c>
      <c r="C383" s="18" t="s">
        <v>318</v>
      </c>
      <c r="D383" s="18">
        <v>22</v>
      </c>
      <c r="E383" s="17">
        <v>5</v>
      </c>
      <c r="F383" s="17">
        <v>12</v>
      </c>
      <c r="G383" s="17">
        <v>27</v>
      </c>
      <c r="H383" s="23">
        <f t="shared" si="5"/>
        <v>0.44444444444444442</v>
      </c>
      <c r="I383" s="17" t="s">
        <v>262</v>
      </c>
    </row>
    <row r="384" spans="1:9" x14ac:dyDescent="0.3">
      <c r="A384" s="18">
        <v>63</v>
      </c>
      <c r="B384" s="40">
        <v>45401</v>
      </c>
      <c r="C384" s="18" t="s">
        <v>319</v>
      </c>
      <c r="D384" s="18">
        <v>23</v>
      </c>
      <c r="E384" s="17">
        <v>4</v>
      </c>
      <c r="F384" s="17">
        <v>10</v>
      </c>
      <c r="G384" s="17">
        <v>19</v>
      </c>
      <c r="H384" s="23">
        <f t="shared" si="5"/>
        <v>0.52631578947368418</v>
      </c>
      <c r="I384" s="17" t="s">
        <v>301</v>
      </c>
    </row>
    <row r="385" spans="1:9" x14ac:dyDescent="0.3">
      <c r="A385" s="18">
        <v>64</v>
      </c>
      <c r="B385" s="40">
        <v>45408</v>
      </c>
      <c r="C385" s="18" t="s">
        <v>193</v>
      </c>
      <c r="D385" s="18">
        <v>1</v>
      </c>
      <c r="E385" s="17">
        <v>221</v>
      </c>
      <c r="F385" s="17">
        <v>24349</v>
      </c>
      <c r="G385" s="17">
        <v>20158</v>
      </c>
      <c r="H385" s="23">
        <f t="shared" si="5"/>
        <v>1.207907530508979</v>
      </c>
      <c r="I385" s="17" t="s">
        <v>279</v>
      </c>
    </row>
    <row r="386" spans="1:9" x14ac:dyDescent="0.3">
      <c r="A386" s="18">
        <v>64</v>
      </c>
      <c r="B386" s="40">
        <v>45408</v>
      </c>
      <c r="C386" s="18" t="s">
        <v>320</v>
      </c>
      <c r="D386" s="18">
        <v>2</v>
      </c>
      <c r="E386" s="17">
        <v>221</v>
      </c>
      <c r="F386" s="17">
        <v>18557</v>
      </c>
      <c r="G386" s="17">
        <v>17603</v>
      </c>
      <c r="H386" s="23">
        <f t="shared" ref="H386:H449" si="6">F386/G386</f>
        <v>1.0541953076180197</v>
      </c>
      <c r="I386" s="17" t="s">
        <v>321</v>
      </c>
    </row>
    <row r="387" spans="1:9" x14ac:dyDescent="0.3">
      <c r="A387" s="18">
        <v>64</v>
      </c>
      <c r="B387" s="40">
        <v>45408</v>
      </c>
      <c r="C387" s="18" t="s">
        <v>279</v>
      </c>
      <c r="D387" s="18">
        <v>3</v>
      </c>
      <c r="E387" s="17">
        <v>220</v>
      </c>
      <c r="F387" s="17">
        <v>11337</v>
      </c>
      <c r="G387" s="17">
        <v>10086</v>
      </c>
      <c r="H387" s="23">
        <f t="shared" si="6"/>
        <v>1.1240333135038667</v>
      </c>
      <c r="I387" s="17" t="s">
        <v>321</v>
      </c>
    </row>
    <row r="388" spans="1:9" x14ac:dyDescent="0.3">
      <c r="A388" s="18">
        <v>64</v>
      </c>
      <c r="B388" s="40">
        <v>45408</v>
      </c>
      <c r="C388" s="18" t="s">
        <v>252</v>
      </c>
      <c r="D388" s="18">
        <v>4</v>
      </c>
      <c r="E388" s="17">
        <v>209</v>
      </c>
      <c r="F388" s="17">
        <v>7966</v>
      </c>
      <c r="G388" s="17">
        <v>8414</v>
      </c>
      <c r="H388" s="23">
        <f t="shared" si="6"/>
        <v>0.9467554076539102</v>
      </c>
      <c r="I388" s="17" t="s">
        <v>322</v>
      </c>
    </row>
    <row r="389" spans="1:9" x14ac:dyDescent="0.3">
      <c r="A389" s="18">
        <v>64</v>
      </c>
      <c r="B389" s="40">
        <v>45408</v>
      </c>
      <c r="C389" s="18" t="s">
        <v>276</v>
      </c>
      <c r="D389" s="18">
        <v>5</v>
      </c>
      <c r="E389" s="17">
        <v>180</v>
      </c>
      <c r="F389" s="17">
        <v>9488</v>
      </c>
      <c r="G389" s="17">
        <v>8211</v>
      </c>
      <c r="H389" s="23">
        <f t="shared" si="6"/>
        <v>1.1555230787967361</v>
      </c>
      <c r="I389" s="17" t="s">
        <v>321</v>
      </c>
    </row>
    <row r="390" spans="1:9" x14ac:dyDescent="0.3">
      <c r="A390" s="18">
        <v>64</v>
      </c>
      <c r="B390" s="40">
        <v>45408</v>
      </c>
      <c r="C390" s="18" t="s">
        <v>323</v>
      </c>
      <c r="D390" s="18">
        <v>6</v>
      </c>
      <c r="E390" s="17">
        <v>151</v>
      </c>
      <c r="F390" s="17">
        <v>5930</v>
      </c>
      <c r="G390" s="17">
        <v>6989</v>
      </c>
      <c r="H390" s="23">
        <f t="shared" si="6"/>
        <v>0.84847617684933463</v>
      </c>
      <c r="I390" s="17" t="s">
        <v>277</v>
      </c>
    </row>
    <row r="391" spans="1:9" x14ac:dyDescent="0.3">
      <c r="A391" s="18">
        <v>64</v>
      </c>
      <c r="B391" s="40">
        <v>45408</v>
      </c>
      <c r="C391" s="18" t="s">
        <v>277</v>
      </c>
      <c r="D391" s="18">
        <v>7</v>
      </c>
      <c r="E391" s="17">
        <v>147</v>
      </c>
      <c r="F391" s="17">
        <v>6193</v>
      </c>
      <c r="G391" s="17">
        <v>8523</v>
      </c>
      <c r="H391" s="23">
        <f t="shared" si="6"/>
        <v>0.72662208142672768</v>
      </c>
      <c r="I391" s="17" t="s">
        <v>322</v>
      </c>
    </row>
    <row r="392" spans="1:9" x14ac:dyDescent="0.3">
      <c r="A392" s="18">
        <v>64</v>
      </c>
      <c r="B392" s="40">
        <v>45408</v>
      </c>
      <c r="C392" s="18" t="s">
        <v>254</v>
      </c>
      <c r="D392" s="18">
        <v>8</v>
      </c>
      <c r="E392" s="17">
        <v>136</v>
      </c>
      <c r="F392" s="17">
        <v>4034</v>
      </c>
      <c r="G392" s="17">
        <v>5844</v>
      </c>
      <c r="H392" s="23">
        <f t="shared" si="6"/>
        <v>0.69028062970568105</v>
      </c>
      <c r="I392" s="17" t="s">
        <v>322</v>
      </c>
    </row>
    <row r="393" spans="1:9" x14ac:dyDescent="0.3">
      <c r="A393" s="18">
        <v>64</v>
      </c>
      <c r="B393" s="40">
        <v>45408</v>
      </c>
      <c r="C393" s="18" t="s">
        <v>289</v>
      </c>
      <c r="D393" s="18">
        <v>9</v>
      </c>
      <c r="E393" s="17">
        <v>59</v>
      </c>
      <c r="F393" s="17">
        <v>871</v>
      </c>
      <c r="G393" s="17">
        <v>1365</v>
      </c>
      <c r="H393" s="23">
        <f t="shared" si="6"/>
        <v>0.63809523809523805</v>
      </c>
      <c r="I393" s="17" t="s">
        <v>280</v>
      </c>
    </row>
    <row r="394" spans="1:9" x14ac:dyDescent="0.3">
      <c r="A394" s="18">
        <v>64</v>
      </c>
      <c r="B394" s="40">
        <v>45408</v>
      </c>
      <c r="C394" s="18" t="s">
        <v>300</v>
      </c>
      <c r="D394" s="18">
        <v>10</v>
      </c>
      <c r="E394" s="17">
        <v>43</v>
      </c>
      <c r="F394" s="17">
        <v>416</v>
      </c>
      <c r="G394" s="17">
        <v>796</v>
      </c>
      <c r="H394" s="23">
        <f t="shared" si="6"/>
        <v>0.52261306532663321</v>
      </c>
      <c r="I394" s="17" t="s">
        <v>322</v>
      </c>
    </row>
    <row r="395" spans="1:9" x14ac:dyDescent="0.3">
      <c r="A395" s="18">
        <v>64</v>
      </c>
      <c r="B395" s="40">
        <v>45408</v>
      </c>
      <c r="C395" s="18" t="s">
        <v>280</v>
      </c>
      <c r="D395" s="18">
        <v>11</v>
      </c>
      <c r="E395" s="17">
        <v>29</v>
      </c>
      <c r="F395" s="17">
        <v>902</v>
      </c>
      <c r="G395" s="17">
        <v>631</v>
      </c>
      <c r="H395" s="23">
        <f t="shared" si="6"/>
        <v>1.4294770206022187</v>
      </c>
      <c r="I395" s="17" t="s">
        <v>289</v>
      </c>
    </row>
    <row r="396" spans="1:9" x14ac:dyDescent="0.3">
      <c r="A396" s="18">
        <v>64</v>
      </c>
      <c r="B396" s="40">
        <v>45408</v>
      </c>
      <c r="C396" s="18" t="s">
        <v>243</v>
      </c>
      <c r="D396" s="18">
        <v>12</v>
      </c>
      <c r="E396" s="17">
        <v>18</v>
      </c>
      <c r="F396" s="17">
        <v>279</v>
      </c>
      <c r="G396" s="17">
        <v>388</v>
      </c>
      <c r="H396" s="23">
        <f t="shared" si="6"/>
        <v>0.71907216494845361</v>
      </c>
      <c r="I396" s="17" t="s">
        <v>321</v>
      </c>
    </row>
    <row r="397" spans="1:9" x14ac:dyDescent="0.3">
      <c r="A397" s="18">
        <v>64</v>
      </c>
      <c r="B397" s="40">
        <v>45408</v>
      </c>
      <c r="C397" s="18" t="s">
        <v>303</v>
      </c>
      <c r="D397" s="18">
        <v>13</v>
      </c>
      <c r="E397" s="17">
        <v>16</v>
      </c>
      <c r="F397" s="17">
        <v>102</v>
      </c>
      <c r="G397" s="17">
        <v>236</v>
      </c>
      <c r="H397" s="23">
        <f t="shared" si="6"/>
        <v>0.43220338983050849</v>
      </c>
      <c r="I397" s="17" t="s">
        <v>277</v>
      </c>
    </row>
    <row r="398" spans="1:9" x14ac:dyDescent="0.3">
      <c r="A398" s="18">
        <v>64</v>
      </c>
      <c r="B398" s="40">
        <v>45408</v>
      </c>
      <c r="C398" s="18" t="s">
        <v>310</v>
      </c>
      <c r="D398" s="18">
        <v>14</v>
      </c>
      <c r="E398" s="17">
        <v>12</v>
      </c>
      <c r="F398" s="17">
        <v>31</v>
      </c>
      <c r="G398" s="17">
        <v>78</v>
      </c>
      <c r="H398" s="23">
        <f t="shared" si="6"/>
        <v>0.39743589743589741</v>
      </c>
      <c r="I398" s="17" t="s">
        <v>254</v>
      </c>
    </row>
    <row r="399" spans="1:9" x14ac:dyDescent="0.3">
      <c r="A399" s="18">
        <v>64</v>
      </c>
      <c r="B399" s="40">
        <v>45408</v>
      </c>
      <c r="C399" s="18" t="s">
        <v>282</v>
      </c>
      <c r="D399" s="18">
        <v>15</v>
      </c>
      <c r="E399" s="17">
        <v>11</v>
      </c>
      <c r="F399" s="17">
        <v>86</v>
      </c>
      <c r="G399" s="17">
        <v>101</v>
      </c>
      <c r="H399" s="23">
        <f t="shared" si="6"/>
        <v>0.85148514851485146</v>
      </c>
      <c r="I399" s="17" t="s">
        <v>289</v>
      </c>
    </row>
    <row r="400" spans="1:9" x14ac:dyDescent="0.3">
      <c r="A400" s="18">
        <v>64</v>
      </c>
      <c r="B400" s="40">
        <v>45408</v>
      </c>
      <c r="C400" s="18" t="s">
        <v>259</v>
      </c>
      <c r="D400" s="18">
        <v>16</v>
      </c>
      <c r="E400" s="17">
        <v>8</v>
      </c>
      <c r="F400" s="17">
        <v>61</v>
      </c>
      <c r="G400" s="17">
        <v>91</v>
      </c>
      <c r="H400" s="23">
        <f t="shared" si="6"/>
        <v>0.67032967032967028</v>
      </c>
      <c r="I400" s="17" t="s">
        <v>245</v>
      </c>
    </row>
    <row r="401" spans="1:9" x14ac:dyDescent="0.3">
      <c r="A401" s="18">
        <v>64</v>
      </c>
      <c r="B401" s="40">
        <v>45408</v>
      </c>
      <c r="C401" s="18" t="s">
        <v>312</v>
      </c>
      <c r="D401" s="18">
        <v>17</v>
      </c>
      <c r="E401" s="17">
        <v>8</v>
      </c>
      <c r="F401" s="17">
        <v>56</v>
      </c>
      <c r="G401" s="17">
        <v>94</v>
      </c>
      <c r="H401" s="23">
        <f t="shared" si="6"/>
        <v>0.5957446808510638</v>
      </c>
      <c r="I401" s="17" t="s">
        <v>245</v>
      </c>
    </row>
    <row r="402" spans="1:9" x14ac:dyDescent="0.3">
      <c r="A402" s="18">
        <v>64</v>
      </c>
      <c r="B402" s="40">
        <v>45408</v>
      </c>
      <c r="C402" s="18" t="s">
        <v>296</v>
      </c>
      <c r="D402" s="18">
        <v>18</v>
      </c>
      <c r="E402" s="17">
        <v>7</v>
      </c>
      <c r="F402" s="17">
        <v>23</v>
      </c>
      <c r="G402" s="17">
        <v>54</v>
      </c>
      <c r="H402" s="23">
        <f t="shared" si="6"/>
        <v>0.42592592592592593</v>
      </c>
      <c r="I402" s="17" t="s">
        <v>289</v>
      </c>
    </row>
    <row r="403" spans="1:9" x14ac:dyDescent="0.3">
      <c r="A403" s="18">
        <v>64</v>
      </c>
      <c r="B403" s="40">
        <v>45408</v>
      </c>
      <c r="C403" s="18" t="s">
        <v>324</v>
      </c>
      <c r="D403" s="18">
        <v>19</v>
      </c>
      <c r="E403" s="17">
        <v>6</v>
      </c>
      <c r="F403" s="17">
        <v>19</v>
      </c>
      <c r="G403" s="17">
        <v>43</v>
      </c>
      <c r="H403" s="23">
        <f t="shared" si="6"/>
        <v>0.44186046511627908</v>
      </c>
      <c r="I403" s="17" t="s">
        <v>245</v>
      </c>
    </row>
    <row r="404" spans="1:9" x14ac:dyDescent="0.3">
      <c r="A404" s="18">
        <v>64</v>
      </c>
      <c r="B404" s="40">
        <v>45408</v>
      </c>
      <c r="C404" s="18" t="s">
        <v>325</v>
      </c>
      <c r="D404" s="18">
        <v>20</v>
      </c>
      <c r="E404" s="17">
        <v>5</v>
      </c>
      <c r="F404" s="17">
        <v>21</v>
      </c>
      <c r="G404" s="17">
        <v>42</v>
      </c>
      <c r="H404" s="23">
        <f t="shared" si="6"/>
        <v>0.5</v>
      </c>
      <c r="I404" s="17" t="s">
        <v>312</v>
      </c>
    </row>
    <row r="405" spans="1:9" x14ac:dyDescent="0.3">
      <c r="A405" s="18">
        <v>64</v>
      </c>
      <c r="B405" s="40">
        <v>45408</v>
      </c>
      <c r="C405" s="18" t="s">
        <v>326</v>
      </c>
      <c r="D405" s="18">
        <v>21</v>
      </c>
      <c r="E405" s="17">
        <v>4</v>
      </c>
      <c r="F405" s="17">
        <v>14</v>
      </c>
      <c r="G405" s="17">
        <v>21</v>
      </c>
      <c r="H405" s="23">
        <f t="shared" si="6"/>
        <v>0.66666666666666663</v>
      </c>
      <c r="I405" s="17" t="s">
        <v>279</v>
      </c>
    </row>
    <row r="406" spans="1:9" x14ac:dyDescent="0.3">
      <c r="A406" s="18">
        <v>64</v>
      </c>
      <c r="B406" s="40">
        <v>45408</v>
      </c>
      <c r="C406" s="18" t="s">
        <v>327</v>
      </c>
      <c r="D406" s="18">
        <v>22</v>
      </c>
      <c r="E406" s="17">
        <v>3</v>
      </c>
      <c r="F406" s="17">
        <v>7</v>
      </c>
      <c r="G406" s="17">
        <v>20</v>
      </c>
      <c r="H406" s="23">
        <f t="shared" si="6"/>
        <v>0.35</v>
      </c>
      <c r="I406" s="17" t="s">
        <v>300</v>
      </c>
    </row>
    <row r="407" spans="1:9" x14ac:dyDescent="0.3">
      <c r="A407" s="18">
        <v>65</v>
      </c>
      <c r="B407" s="40">
        <v>45415</v>
      </c>
      <c r="C407" s="18" t="s">
        <v>276</v>
      </c>
      <c r="D407" s="18">
        <v>1</v>
      </c>
      <c r="E407" s="17">
        <v>81</v>
      </c>
      <c r="F407" s="17">
        <v>3272</v>
      </c>
      <c r="G407" s="17">
        <v>2277</v>
      </c>
      <c r="H407" s="23">
        <f t="shared" si="6"/>
        <v>1.4369784804567414</v>
      </c>
      <c r="I407" s="17" t="s">
        <v>279</v>
      </c>
    </row>
    <row r="408" spans="1:9" x14ac:dyDescent="0.3">
      <c r="A408" s="18">
        <v>65</v>
      </c>
      <c r="B408" s="40">
        <v>45415</v>
      </c>
      <c r="C408" s="18" t="s">
        <v>278</v>
      </c>
      <c r="D408" s="18">
        <v>2</v>
      </c>
      <c r="E408" s="17">
        <v>81</v>
      </c>
      <c r="F408" s="17">
        <v>6097</v>
      </c>
      <c r="G408" s="17">
        <v>5582</v>
      </c>
      <c r="H408" s="23">
        <f t="shared" si="6"/>
        <v>1.0922608384091723</v>
      </c>
      <c r="I408" s="17" t="s">
        <v>279</v>
      </c>
    </row>
    <row r="409" spans="1:9" x14ac:dyDescent="0.3">
      <c r="A409" s="18">
        <v>65</v>
      </c>
      <c r="B409" s="40">
        <v>45415</v>
      </c>
      <c r="C409" s="18" t="s">
        <v>328</v>
      </c>
      <c r="D409" s="18">
        <v>3</v>
      </c>
      <c r="E409" s="17">
        <v>81</v>
      </c>
      <c r="F409" s="17">
        <v>2581</v>
      </c>
      <c r="G409" s="17">
        <v>2709</v>
      </c>
      <c r="H409" s="23">
        <f t="shared" si="6"/>
        <v>0.95275009228497598</v>
      </c>
      <c r="I409" s="17" t="s">
        <v>278</v>
      </c>
    </row>
    <row r="410" spans="1:9" x14ac:dyDescent="0.3">
      <c r="A410" s="18">
        <v>65</v>
      </c>
      <c r="B410" s="40">
        <v>45415</v>
      </c>
      <c r="C410" s="18" t="s">
        <v>329</v>
      </c>
      <c r="D410" s="18">
        <v>4</v>
      </c>
      <c r="E410" s="17">
        <v>81</v>
      </c>
      <c r="F410" s="17">
        <v>3456</v>
      </c>
      <c r="G410" s="17">
        <v>2800</v>
      </c>
      <c r="H410" s="23">
        <f t="shared" si="6"/>
        <v>1.2342857142857142</v>
      </c>
      <c r="I410" s="17" t="s">
        <v>278</v>
      </c>
    </row>
    <row r="411" spans="1:9" x14ac:dyDescent="0.3">
      <c r="A411" s="18">
        <v>65</v>
      </c>
      <c r="B411" s="40">
        <v>45415</v>
      </c>
      <c r="C411" s="18" t="s">
        <v>330</v>
      </c>
      <c r="D411" s="18">
        <v>5</v>
      </c>
      <c r="E411" s="17">
        <v>81</v>
      </c>
      <c r="F411" s="17">
        <v>1459</v>
      </c>
      <c r="G411" s="17">
        <v>1202</v>
      </c>
      <c r="H411" s="23">
        <f t="shared" si="6"/>
        <v>1.2138103161397671</v>
      </c>
      <c r="I411" s="17" t="s">
        <v>245</v>
      </c>
    </row>
    <row r="412" spans="1:9" x14ac:dyDescent="0.3">
      <c r="A412" s="18">
        <v>65</v>
      </c>
      <c r="B412" s="40">
        <v>45415</v>
      </c>
      <c r="C412" s="18" t="s">
        <v>331</v>
      </c>
      <c r="D412" s="18">
        <v>6</v>
      </c>
      <c r="E412" s="17">
        <v>80</v>
      </c>
      <c r="F412" s="17">
        <v>1772</v>
      </c>
      <c r="G412" s="17">
        <v>1181</v>
      </c>
      <c r="H412" s="23">
        <f t="shared" si="6"/>
        <v>1.5004233700254022</v>
      </c>
      <c r="I412" s="17" t="s">
        <v>279</v>
      </c>
    </row>
    <row r="413" spans="1:9" x14ac:dyDescent="0.3">
      <c r="A413" s="18">
        <v>65</v>
      </c>
      <c r="B413" s="40">
        <v>45415</v>
      </c>
      <c r="C413" s="18" t="s">
        <v>110</v>
      </c>
      <c r="D413" s="18">
        <v>7</v>
      </c>
      <c r="E413" s="17">
        <v>61</v>
      </c>
      <c r="F413" s="17">
        <v>1226</v>
      </c>
      <c r="G413" s="17">
        <v>1722</v>
      </c>
      <c r="H413" s="23">
        <f t="shared" si="6"/>
        <v>0.71196283391405346</v>
      </c>
      <c r="I413" s="17" t="s">
        <v>278</v>
      </c>
    </row>
    <row r="414" spans="1:9" x14ac:dyDescent="0.3">
      <c r="A414" s="18">
        <v>65</v>
      </c>
      <c r="B414" s="40">
        <v>45415</v>
      </c>
      <c r="C414" s="18" t="s">
        <v>332</v>
      </c>
      <c r="D414" s="18">
        <v>8</v>
      </c>
      <c r="E414" s="17">
        <v>55</v>
      </c>
      <c r="F414" s="17">
        <v>1455</v>
      </c>
      <c r="G414" s="17">
        <v>2171</v>
      </c>
      <c r="H414" s="23">
        <f t="shared" si="6"/>
        <v>0.67019806540764626</v>
      </c>
      <c r="I414" s="17" t="s">
        <v>243</v>
      </c>
    </row>
    <row r="415" spans="1:9" x14ac:dyDescent="0.3">
      <c r="A415" s="18">
        <v>65</v>
      </c>
      <c r="B415" s="40">
        <v>45415</v>
      </c>
      <c r="C415" s="18" t="s">
        <v>125</v>
      </c>
      <c r="D415" s="18">
        <v>9</v>
      </c>
      <c r="E415" s="17">
        <v>43</v>
      </c>
      <c r="F415" s="17">
        <v>106</v>
      </c>
      <c r="G415" s="17">
        <v>260</v>
      </c>
      <c r="H415" s="23">
        <f t="shared" si="6"/>
        <v>0.40769230769230769</v>
      </c>
      <c r="I415" s="17" t="s">
        <v>333</v>
      </c>
    </row>
    <row r="416" spans="1:9" x14ac:dyDescent="0.3">
      <c r="A416" s="18">
        <v>65</v>
      </c>
      <c r="B416" s="40">
        <v>45415</v>
      </c>
      <c r="C416" s="18" t="s">
        <v>205</v>
      </c>
      <c r="D416" s="18">
        <v>10</v>
      </c>
      <c r="E416" s="17">
        <v>43</v>
      </c>
      <c r="F416" s="17">
        <v>309</v>
      </c>
      <c r="G416" s="17">
        <v>371</v>
      </c>
      <c r="H416" s="23">
        <f t="shared" si="6"/>
        <v>0.8328840970350404</v>
      </c>
      <c r="I416" s="17" t="s">
        <v>278</v>
      </c>
    </row>
    <row r="417" spans="1:9" x14ac:dyDescent="0.3">
      <c r="A417" s="18">
        <v>65</v>
      </c>
      <c r="B417" s="40">
        <v>45415</v>
      </c>
      <c r="C417" s="18" t="s">
        <v>334</v>
      </c>
      <c r="D417" s="18">
        <v>11</v>
      </c>
      <c r="E417" s="17">
        <v>32</v>
      </c>
      <c r="F417" s="17">
        <v>707</v>
      </c>
      <c r="G417" s="17">
        <v>655</v>
      </c>
      <c r="H417" s="23">
        <f t="shared" si="6"/>
        <v>1.0793893129770993</v>
      </c>
      <c r="I417" s="17" t="s">
        <v>278</v>
      </c>
    </row>
    <row r="418" spans="1:9" x14ac:dyDescent="0.3">
      <c r="A418" s="18">
        <v>65</v>
      </c>
      <c r="B418" s="40">
        <v>45415</v>
      </c>
      <c r="C418" s="18" t="s">
        <v>335</v>
      </c>
      <c r="D418" s="18">
        <v>12</v>
      </c>
      <c r="E418" s="17">
        <v>29</v>
      </c>
      <c r="F418" s="17">
        <v>425</v>
      </c>
      <c r="G418" s="17">
        <v>469</v>
      </c>
      <c r="H418" s="23">
        <f t="shared" si="6"/>
        <v>0.906183368869936</v>
      </c>
      <c r="I418" s="17" t="s">
        <v>244</v>
      </c>
    </row>
    <row r="419" spans="1:9" x14ac:dyDescent="0.3">
      <c r="A419" s="18">
        <v>65</v>
      </c>
      <c r="B419" s="40">
        <v>45415</v>
      </c>
      <c r="C419" s="18" t="s">
        <v>198</v>
      </c>
      <c r="D419" s="18">
        <v>13</v>
      </c>
      <c r="E419" s="17">
        <v>24</v>
      </c>
      <c r="F419" s="17">
        <v>198</v>
      </c>
      <c r="G419" s="17">
        <v>216</v>
      </c>
      <c r="H419" s="23">
        <f t="shared" si="6"/>
        <v>0.91666666666666663</v>
      </c>
      <c r="I419" s="17" t="s">
        <v>268</v>
      </c>
    </row>
    <row r="420" spans="1:9" x14ac:dyDescent="0.3">
      <c r="A420" s="18">
        <v>65</v>
      </c>
      <c r="B420" s="40">
        <v>45415</v>
      </c>
      <c r="C420" s="18" t="s">
        <v>292</v>
      </c>
      <c r="D420" s="18">
        <v>14</v>
      </c>
      <c r="E420" s="17">
        <v>20</v>
      </c>
      <c r="F420" s="17">
        <v>172</v>
      </c>
      <c r="G420" s="17">
        <v>271</v>
      </c>
      <c r="H420" s="23">
        <f t="shared" si="6"/>
        <v>0.63468634686346859</v>
      </c>
      <c r="I420" s="17" t="s">
        <v>278</v>
      </c>
    </row>
    <row r="421" spans="1:9" x14ac:dyDescent="0.3">
      <c r="A421" s="18">
        <v>65</v>
      </c>
      <c r="B421" s="40">
        <v>45415</v>
      </c>
      <c r="C421" s="18" t="s">
        <v>164</v>
      </c>
      <c r="D421" s="18">
        <v>15</v>
      </c>
      <c r="E421" s="17">
        <v>17</v>
      </c>
      <c r="F421" s="17">
        <v>157</v>
      </c>
      <c r="G421" s="17">
        <v>213</v>
      </c>
      <c r="H421" s="23">
        <f t="shared" si="6"/>
        <v>0.73708920187793425</v>
      </c>
      <c r="I421" s="17" t="s">
        <v>268</v>
      </c>
    </row>
    <row r="422" spans="1:9" x14ac:dyDescent="0.3">
      <c r="A422" s="18">
        <v>65</v>
      </c>
      <c r="B422" s="40">
        <v>45415</v>
      </c>
      <c r="C422" s="18" t="s">
        <v>201</v>
      </c>
      <c r="D422" s="18">
        <v>16</v>
      </c>
      <c r="E422" s="17">
        <v>14</v>
      </c>
      <c r="F422" s="17">
        <v>56</v>
      </c>
      <c r="G422" s="17">
        <v>146</v>
      </c>
      <c r="H422" s="23">
        <f t="shared" si="6"/>
        <v>0.38356164383561642</v>
      </c>
      <c r="I422" s="17" t="s">
        <v>310</v>
      </c>
    </row>
    <row r="423" spans="1:9" x14ac:dyDescent="0.3">
      <c r="A423" s="18">
        <v>65</v>
      </c>
      <c r="B423" s="40">
        <v>45415</v>
      </c>
      <c r="C423" s="18" t="s">
        <v>336</v>
      </c>
      <c r="D423" s="18">
        <v>17</v>
      </c>
      <c r="E423" s="17">
        <v>13</v>
      </c>
      <c r="F423" s="17">
        <v>270</v>
      </c>
      <c r="G423" s="17">
        <v>288</v>
      </c>
      <c r="H423" s="23">
        <f t="shared" si="6"/>
        <v>0.9375</v>
      </c>
      <c r="I423" s="17" t="s">
        <v>245</v>
      </c>
    </row>
    <row r="424" spans="1:9" x14ac:dyDescent="0.3">
      <c r="A424" s="18">
        <v>65</v>
      </c>
      <c r="B424" s="40">
        <v>45415</v>
      </c>
      <c r="C424" s="18" t="s">
        <v>282</v>
      </c>
      <c r="D424" s="18">
        <v>18</v>
      </c>
      <c r="E424" s="17">
        <v>13</v>
      </c>
      <c r="F424" s="17">
        <v>106</v>
      </c>
      <c r="G424" s="17">
        <v>245</v>
      </c>
      <c r="H424" s="23">
        <f t="shared" si="6"/>
        <v>0.43265306122448982</v>
      </c>
      <c r="I424" s="17" t="s">
        <v>243</v>
      </c>
    </row>
    <row r="425" spans="1:9" x14ac:dyDescent="0.3">
      <c r="A425" s="18">
        <v>65</v>
      </c>
      <c r="B425" s="40">
        <v>45415</v>
      </c>
      <c r="C425" s="18" t="s">
        <v>337</v>
      </c>
      <c r="D425" s="18">
        <v>19</v>
      </c>
      <c r="E425" s="17">
        <v>11</v>
      </c>
      <c r="F425" s="17">
        <v>23</v>
      </c>
      <c r="G425" s="17">
        <v>21</v>
      </c>
      <c r="H425" s="23">
        <f t="shared" si="6"/>
        <v>1.0952380952380953</v>
      </c>
      <c r="I425" s="17" t="s">
        <v>266</v>
      </c>
    </row>
    <row r="426" spans="1:9" x14ac:dyDescent="0.3">
      <c r="A426" s="18">
        <v>65</v>
      </c>
      <c r="B426" s="40">
        <v>45415</v>
      </c>
      <c r="C426" s="18" t="s">
        <v>338</v>
      </c>
      <c r="D426" s="18">
        <v>20</v>
      </c>
      <c r="E426" s="17">
        <v>8</v>
      </c>
      <c r="F426" s="17">
        <v>22</v>
      </c>
      <c r="G426" s="17">
        <v>67</v>
      </c>
      <c r="H426" s="23">
        <f t="shared" si="6"/>
        <v>0.32835820895522388</v>
      </c>
      <c r="I426" s="17" t="s">
        <v>339</v>
      </c>
    </row>
    <row r="427" spans="1:9" x14ac:dyDescent="0.3">
      <c r="A427" s="18">
        <v>65</v>
      </c>
      <c r="B427" s="40">
        <v>45415</v>
      </c>
      <c r="C427" s="18" t="s">
        <v>254</v>
      </c>
      <c r="D427" s="18">
        <v>21</v>
      </c>
      <c r="E427" s="17">
        <v>7</v>
      </c>
      <c r="F427" s="17">
        <v>19</v>
      </c>
      <c r="G427" s="17">
        <v>57</v>
      </c>
      <c r="H427" s="23">
        <f t="shared" si="6"/>
        <v>0.33333333333333331</v>
      </c>
      <c r="I427" s="17" t="s">
        <v>266</v>
      </c>
    </row>
    <row r="428" spans="1:9" x14ac:dyDescent="0.3">
      <c r="A428" s="18">
        <v>65</v>
      </c>
      <c r="B428" s="40">
        <v>45415</v>
      </c>
      <c r="C428" s="18" t="s">
        <v>340</v>
      </c>
      <c r="D428" s="18">
        <v>22</v>
      </c>
      <c r="E428" s="17">
        <v>3</v>
      </c>
      <c r="F428" s="17">
        <v>10</v>
      </c>
      <c r="G428" s="17">
        <v>27</v>
      </c>
      <c r="H428" s="23">
        <f t="shared" si="6"/>
        <v>0.37037037037037035</v>
      </c>
      <c r="I428" s="17" t="s">
        <v>265</v>
      </c>
    </row>
    <row r="429" spans="1:9" x14ac:dyDescent="0.3">
      <c r="A429" s="18">
        <v>65</v>
      </c>
      <c r="B429" s="40">
        <v>45415</v>
      </c>
      <c r="C429" s="18" t="s">
        <v>341</v>
      </c>
      <c r="D429" s="18">
        <v>23</v>
      </c>
      <c r="E429" s="17">
        <v>31</v>
      </c>
      <c r="F429" s="17">
        <v>196</v>
      </c>
      <c r="G429" s="17">
        <v>292</v>
      </c>
      <c r="H429" s="23">
        <f t="shared" si="6"/>
        <v>0.67123287671232879</v>
      </c>
      <c r="I429" s="17" t="s">
        <v>244</v>
      </c>
    </row>
    <row r="430" spans="1:9" x14ac:dyDescent="0.3">
      <c r="A430" s="18">
        <v>66</v>
      </c>
      <c r="B430" s="40">
        <v>45422</v>
      </c>
      <c r="C430" s="18" t="s">
        <v>330</v>
      </c>
      <c r="D430" s="18">
        <v>1</v>
      </c>
      <c r="E430" s="17">
        <v>160</v>
      </c>
      <c r="F430" s="17">
        <v>13894</v>
      </c>
      <c r="G430" s="17">
        <v>10941</v>
      </c>
      <c r="H430" s="23">
        <f t="shared" si="6"/>
        <v>1.2699022027236999</v>
      </c>
      <c r="I430" s="17" t="s">
        <v>206</v>
      </c>
    </row>
    <row r="431" spans="1:9" x14ac:dyDescent="0.3">
      <c r="A431" s="18">
        <v>66</v>
      </c>
      <c r="B431" s="40">
        <v>45422</v>
      </c>
      <c r="C431" s="18" t="s">
        <v>108</v>
      </c>
      <c r="D431" s="18">
        <v>2</v>
      </c>
      <c r="E431" s="17">
        <v>160</v>
      </c>
      <c r="F431" s="17">
        <v>13355</v>
      </c>
      <c r="G431" s="17">
        <v>13241</v>
      </c>
      <c r="H431" s="23">
        <f t="shared" si="6"/>
        <v>1.0086096216297862</v>
      </c>
      <c r="I431" s="17" t="s">
        <v>278</v>
      </c>
    </row>
    <row r="432" spans="1:9" x14ac:dyDescent="0.3">
      <c r="A432" s="18">
        <v>66</v>
      </c>
      <c r="B432" s="40">
        <v>45422</v>
      </c>
      <c r="C432" s="18" t="s">
        <v>206</v>
      </c>
      <c r="D432" s="18">
        <v>3</v>
      </c>
      <c r="E432" s="17">
        <v>160</v>
      </c>
      <c r="F432" s="17">
        <v>12351</v>
      </c>
      <c r="G432" s="17">
        <v>12462</v>
      </c>
      <c r="H432" s="23">
        <f t="shared" si="6"/>
        <v>0.99109292248435243</v>
      </c>
      <c r="I432" s="17" t="s">
        <v>330</v>
      </c>
    </row>
    <row r="433" spans="1:9" x14ac:dyDescent="0.3">
      <c r="A433" s="18">
        <v>66</v>
      </c>
      <c r="B433" s="40">
        <v>45422</v>
      </c>
      <c r="C433" s="18" t="s">
        <v>278</v>
      </c>
      <c r="D433" s="18">
        <v>4</v>
      </c>
      <c r="E433" s="17">
        <v>128</v>
      </c>
      <c r="F433" s="17">
        <v>8083</v>
      </c>
      <c r="G433" s="17">
        <v>6950</v>
      </c>
      <c r="H433" s="23">
        <f t="shared" si="6"/>
        <v>1.1630215827338128</v>
      </c>
      <c r="I433" s="17" t="s">
        <v>108</v>
      </c>
    </row>
    <row r="434" spans="1:9" x14ac:dyDescent="0.3">
      <c r="A434" s="18">
        <v>66</v>
      </c>
      <c r="B434" s="40">
        <v>45422</v>
      </c>
      <c r="C434" s="18" t="s">
        <v>282</v>
      </c>
      <c r="D434" s="18">
        <v>5</v>
      </c>
      <c r="E434" s="17">
        <v>94</v>
      </c>
      <c r="F434" s="17">
        <v>4835</v>
      </c>
      <c r="G434" s="17">
        <v>6051</v>
      </c>
      <c r="H434" s="23">
        <f t="shared" si="6"/>
        <v>0.799041480746984</v>
      </c>
      <c r="I434" s="17" t="s">
        <v>206</v>
      </c>
    </row>
    <row r="435" spans="1:9" x14ac:dyDescent="0.3">
      <c r="A435" s="18">
        <v>66</v>
      </c>
      <c r="B435" s="40">
        <v>45422</v>
      </c>
      <c r="C435" s="18" t="s">
        <v>329</v>
      </c>
      <c r="D435" s="18">
        <v>6</v>
      </c>
      <c r="E435" s="17">
        <v>72</v>
      </c>
      <c r="F435" s="17">
        <v>1999</v>
      </c>
      <c r="G435" s="17">
        <v>1321</v>
      </c>
      <c r="H435" s="23">
        <f t="shared" si="6"/>
        <v>1.5132475397426193</v>
      </c>
      <c r="I435" s="17" t="s">
        <v>282</v>
      </c>
    </row>
    <row r="436" spans="1:9" x14ac:dyDescent="0.3">
      <c r="A436" s="18">
        <v>66</v>
      </c>
      <c r="B436" s="40">
        <v>45422</v>
      </c>
      <c r="C436" s="18" t="s">
        <v>342</v>
      </c>
      <c r="D436" s="18">
        <v>7</v>
      </c>
      <c r="E436" s="17">
        <v>57</v>
      </c>
      <c r="F436" s="17">
        <v>191</v>
      </c>
      <c r="G436" s="17">
        <v>384</v>
      </c>
      <c r="H436" s="23">
        <f t="shared" si="6"/>
        <v>0.49739583333333331</v>
      </c>
      <c r="I436" s="17" t="s">
        <v>278</v>
      </c>
    </row>
    <row r="437" spans="1:9" x14ac:dyDescent="0.3">
      <c r="A437" s="18">
        <v>66</v>
      </c>
      <c r="B437" s="40">
        <v>45422</v>
      </c>
      <c r="C437" s="18" t="s">
        <v>343</v>
      </c>
      <c r="D437" s="18">
        <v>8</v>
      </c>
      <c r="E437" s="17">
        <v>52</v>
      </c>
      <c r="F437" s="17">
        <v>378</v>
      </c>
      <c r="G437" s="17">
        <v>395</v>
      </c>
      <c r="H437" s="23">
        <f t="shared" si="6"/>
        <v>0.95696202531645569</v>
      </c>
      <c r="I437" s="17" t="s">
        <v>263</v>
      </c>
    </row>
    <row r="438" spans="1:9" x14ac:dyDescent="0.3">
      <c r="A438" s="18">
        <v>66</v>
      </c>
      <c r="B438" s="40">
        <v>45422</v>
      </c>
      <c r="C438" s="18" t="s">
        <v>344</v>
      </c>
      <c r="D438" s="18">
        <v>9</v>
      </c>
      <c r="E438" s="17">
        <v>49</v>
      </c>
      <c r="F438" s="17">
        <v>2857</v>
      </c>
      <c r="G438" s="17">
        <v>3244</v>
      </c>
      <c r="H438" s="23">
        <f t="shared" si="6"/>
        <v>0.88070283600493215</v>
      </c>
      <c r="I438" s="17" t="s">
        <v>282</v>
      </c>
    </row>
    <row r="439" spans="1:9" x14ac:dyDescent="0.3">
      <c r="A439" s="18">
        <v>66</v>
      </c>
      <c r="B439" s="40">
        <v>45422</v>
      </c>
      <c r="C439" s="18" t="s">
        <v>345</v>
      </c>
      <c r="D439" s="18">
        <v>10</v>
      </c>
      <c r="E439" s="17">
        <v>49</v>
      </c>
      <c r="F439" s="17">
        <v>559</v>
      </c>
      <c r="G439" s="17">
        <v>745</v>
      </c>
      <c r="H439" s="23">
        <f t="shared" si="6"/>
        <v>0.75033557046979871</v>
      </c>
      <c r="I439" s="17" t="s">
        <v>278</v>
      </c>
    </row>
    <row r="440" spans="1:9" x14ac:dyDescent="0.3">
      <c r="A440" s="18">
        <v>66</v>
      </c>
      <c r="B440" s="40">
        <v>45422</v>
      </c>
      <c r="C440" s="18" t="s">
        <v>166</v>
      </c>
      <c r="D440" s="18">
        <v>11</v>
      </c>
      <c r="E440" s="17">
        <v>45</v>
      </c>
      <c r="F440" s="17">
        <v>606</v>
      </c>
      <c r="G440" s="17">
        <v>597</v>
      </c>
      <c r="H440" s="23">
        <f t="shared" si="6"/>
        <v>1.0150753768844221</v>
      </c>
      <c r="I440" s="17" t="s">
        <v>278</v>
      </c>
    </row>
    <row r="441" spans="1:9" x14ac:dyDescent="0.3">
      <c r="A441" s="18">
        <v>66</v>
      </c>
      <c r="B441" s="40">
        <v>45422</v>
      </c>
      <c r="C441" s="18" t="s">
        <v>346</v>
      </c>
      <c r="D441" s="18">
        <v>12</v>
      </c>
      <c r="E441" s="17">
        <v>44</v>
      </c>
      <c r="F441" s="17">
        <v>363</v>
      </c>
      <c r="G441" s="17">
        <v>530</v>
      </c>
      <c r="H441" s="23">
        <f t="shared" si="6"/>
        <v>0.68490566037735845</v>
      </c>
      <c r="I441" s="17" t="s">
        <v>254</v>
      </c>
    </row>
    <row r="442" spans="1:9" x14ac:dyDescent="0.3">
      <c r="A442" s="18">
        <v>66</v>
      </c>
      <c r="B442" s="40">
        <v>45422</v>
      </c>
      <c r="C442" s="18" t="s">
        <v>235</v>
      </c>
      <c r="D442" s="18">
        <v>13</v>
      </c>
      <c r="E442" s="17">
        <v>42</v>
      </c>
      <c r="F442" s="17">
        <v>105</v>
      </c>
      <c r="G442" s="17">
        <v>268</v>
      </c>
      <c r="H442" s="23">
        <f t="shared" si="6"/>
        <v>0.39179104477611942</v>
      </c>
      <c r="I442" s="17" t="s">
        <v>278</v>
      </c>
    </row>
    <row r="443" spans="1:9" x14ac:dyDescent="0.3">
      <c r="A443" s="18">
        <v>66</v>
      </c>
      <c r="B443" s="40">
        <v>45422</v>
      </c>
      <c r="C443" s="18" t="s">
        <v>347</v>
      </c>
      <c r="D443" s="18">
        <v>14</v>
      </c>
      <c r="E443" s="17">
        <v>39</v>
      </c>
      <c r="F443" s="17">
        <v>243</v>
      </c>
      <c r="G443" s="17">
        <v>488</v>
      </c>
      <c r="H443" s="23">
        <f t="shared" si="6"/>
        <v>0.49795081967213117</v>
      </c>
      <c r="I443" s="17" t="s">
        <v>244</v>
      </c>
    </row>
    <row r="444" spans="1:9" x14ac:dyDescent="0.3">
      <c r="A444" s="18">
        <v>66</v>
      </c>
      <c r="B444" s="40">
        <v>45422</v>
      </c>
      <c r="C444" s="18" t="s">
        <v>348</v>
      </c>
      <c r="D444" s="18">
        <v>15</v>
      </c>
      <c r="E444" s="17">
        <v>38</v>
      </c>
      <c r="F444" s="17">
        <v>18</v>
      </c>
      <c r="G444" s="17">
        <v>24</v>
      </c>
      <c r="H444" s="23">
        <f t="shared" si="6"/>
        <v>0.75</v>
      </c>
      <c r="I444" s="17" t="s">
        <v>244</v>
      </c>
    </row>
    <row r="445" spans="1:9" x14ac:dyDescent="0.3">
      <c r="A445" s="18">
        <v>66</v>
      </c>
      <c r="B445" s="40">
        <v>45422</v>
      </c>
      <c r="C445" s="18" t="s">
        <v>349</v>
      </c>
      <c r="D445" s="18">
        <v>16</v>
      </c>
      <c r="E445" s="17">
        <v>33</v>
      </c>
      <c r="F445" s="17">
        <v>383</v>
      </c>
      <c r="G445" s="17">
        <v>544</v>
      </c>
      <c r="H445" s="23">
        <f t="shared" si="6"/>
        <v>0.70404411764705888</v>
      </c>
      <c r="I445" s="17" t="s">
        <v>282</v>
      </c>
    </row>
    <row r="446" spans="1:9" x14ac:dyDescent="0.3">
      <c r="A446" s="18">
        <v>66</v>
      </c>
      <c r="B446" s="40">
        <v>45422</v>
      </c>
      <c r="C446" s="18" t="s">
        <v>350</v>
      </c>
      <c r="D446" s="18">
        <v>17</v>
      </c>
      <c r="E446" s="17">
        <v>21</v>
      </c>
      <c r="F446" s="17">
        <v>357</v>
      </c>
      <c r="G446" s="17">
        <v>414</v>
      </c>
      <c r="H446" s="23">
        <f t="shared" si="6"/>
        <v>0.8623188405797102</v>
      </c>
      <c r="I446" s="17" t="s">
        <v>263</v>
      </c>
    </row>
    <row r="447" spans="1:9" x14ac:dyDescent="0.3">
      <c r="A447" s="18">
        <v>66</v>
      </c>
      <c r="B447" s="40">
        <v>45422</v>
      </c>
      <c r="C447" s="18" t="s">
        <v>351</v>
      </c>
      <c r="D447" s="18">
        <v>18</v>
      </c>
      <c r="E447" s="17">
        <v>12</v>
      </c>
      <c r="F447" s="17">
        <v>288</v>
      </c>
      <c r="G447" s="17">
        <v>359</v>
      </c>
      <c r="H447" s="23">
        <f t="shared" si="6"/>
        <v>0.8022284122562674</v>
      </c>
      <c r="I447" s="17" t="s">
        <v>263</v>
      </c>
    </row>
    <row r="448" spans="1:9" x14ac:dyDescent="0.3">
      <c r="A448" s="18">
        <v>66</v>
      </c>
      <c r="B448" s="40">
        <v>45422</v>
      </c>
      <c r="C448" s="18" t="s">
        <v>199</v>
      </c>
      <c r="D448" s="18">
        <v>19</v>
      </c>
      <c r="E448" s="17">
        <v>8</v>
      </c>
      <c r="F448" s="17">
        <v>68</v>
      </c>
      <c r="G448" s="17">
        <v>118</v>
      </c>
      <c r="H448" s="23">
        <f t="shared" si="6"/>
        <v>0.57627118644067798</v>
      </c>
      <c r="I448" s="17" t="s">
        <v>352</v>
      </c>
    </row>
    <row r="449" spans="1:9" x14ac:dyDescent="0.3">
      <c r="A449" s="18">
        <v>66</v>
      </c>
      <c r="B449" s="40">
        <v>45422</v>
      </c>
      <c r="C449" s="18" t="s">
        <v>353</v>
      </c>
      <c r="D449" s="18">
        <v>20</v>
      </c>
      <c r="E449" s="17">
        <v>6</v>
      </c>
      <c r="F449" s="17">
        <v>35</v>
      </c>
      <c r="G449" s="17">
        <v>54</v>
      </c>
      <c r="H449" s="23">
        <f t="shared" si="6"/>
        <v>0.64814814814814814</v>
      </c>
      <c r="I449" s="17" t="s">
        <v>263</v>
      </c>
    </row>
    <row r="450" spans="1:9" x14ac:dyDescent="0.3">
      <c r="A450" s="18">
        <v>66</v>
      </c>
      <c r="B450" s="40">
        <v>45422</v>
      </c>
      <c r="C450" s="18" t="s">
        <v>332</v>
      </c>
      <c r="D450" s="18">
        <v>21</v>
      </c>
      <c r="E450" s="17">
        <v>5</v>
      </c>
      <c r="F450" s="17">
        <v>21</v>
      </c>
      <c r="G450" s="17">
        <v>49</v>
      </c>
      <c r="H450" s="23">
        <f t="shared" ref="H450:H513" si="7">F450/G450</f>
        <v>0.42857142857142855</v>
      </c>
      <c r="I450" s="17" t="s">
        <v>259</v>
      </c>
    </row>
    <row r="451" spans="1:9" x14ac:dyDescent="0.3">
      <c r="A451" s="18">
        <v>66</v>
      </c>
      <c r="B451" s="40">
        <v>45422</v>
      </c>
      <c r="C451" s="18" t="s">
        <v>354</v>
      </c>
      <c r="D451" s="18">
        <v>22</v>
      </c>
      <c r="E451" s="17">
        <v>4</v>
      </c>
      <c r="F451" s="17">
        <v>18</v>
      </c>
      <c r="G451" s="17">
        <v>34</v>
      </c>
      <c r="H451" s="23">
        <f t="shared" si="7"/>
        <v>0.52941176470588236</v>
      </c>
      <c r="I451" s="17" t="s">
        <v>165</v>
      </c>
    </row>
    <row r="452" spans="1:9" x14ac:dyDescent="0.3">
      <c r="A452" s="18">
        <v>66</v>
      </c>
      <c r="B452" s="40">
        <v>45422</v>
      </c>
      <c r="C452" s="18" t="s">
        <v>355</v>
      </c>
      <c r="D452" s="18">
        <v>23</v>
      </c>
      <c r="E452" s="17">
        <v>2</v>
      </c>
      <c r="F452" s="17">
        <v>1</v>
      </c>
      <c r="G452" s="17">
        <v>4</v>
      </c>
      <c r="H452" s="23">
        <f t="shared" si="7"/>
        <v>0.25</v>
      </c>
      <c r="I452" s="17" t="s">
        <v>263</v>
      </c>
    </row>
    <row r="453" spans="1:9" x14ac:dyDescent="0.3">
      <c r="A453" s="18">
        <v>67</v>
      </c>
      <c r="B453" s="40">
        <v>45429</v>
      </c>
      <c r="C453" s="18" t="s">
        <v>356</v>
      </c>
      <c r="D453" s="18">
        <v>1</v>
      </c>
      <c r="E453" s="17">
        <v>105</v>
      </c>
      <c r="F453" s="17">
        <v>6718</v>
      </c>
      <c r="G453" s="17">
        <v>5968</v>
      </c>
      <c r="H453" s="23">
        <f t="shared" si="7"/>
        <v>1.1256702412868633</v>
      </c>
      <c r="I453" s="17" t="s">
        <v>108</v>
      </c>
    </row>
    <row r="454" spans="1:9" x14ac:dyDescent="0.3">
      <c r="A454" s="18">
        <v>67</v>
      </c>
      <c r="B454" s="40">
        <v>45429</v>
      </c>
      <c r="C454" s="18" t="s">
        <v>276</v>
      </c>
      <c r="D454" s="18">
        <v>2</v>
      </c>
      <c r="E454" s="17">
        <v>105</v>
      </c>
      <c r="F454" s="17">
        <v>2635</v>
      </c>
      <c r="G454" s="17">
        <v>2430</v>
      </c>
      <c r="H454" s="23">
        <f t="shared" si="7"/>
        <v>1.0843621399176955</v>
      </c>
      <c r="I454" s="17" t="s">
        <v>217</v>
      </c>
    </row>
    <row r="455" spans="1:9" x14ac:dyDescent="0.3">
      <c r="A455" s="18">
        <v>67</v>
      </c>
      <c r="B455" s="40">
        <v>45429</v>
      </c>
      <c r="C455" s="18" t="s">
        <v>110</v>
      </c>
      <c r="D455" s="18">
        <v>3</v>
      </c>
      <c r="E455" s="17">
        <v>105</v>
      </c>
      <c r="F455" s="17">
        <v>2022</v>
      </c>
      <c r="G455" s="17">
        <v>968</v>
      </c>
      <c r="H455" s="23">
        <f t="shared" si="7"/>
        <v>2.0888429752066116</v>
      </c>
      <c r="I455" s="17" t="s">
        <v>276</v>
      </c>
    </row>
    <row r="456" spans="1:9" x14ac:dyDescent="0.3">
      <c r="A456" s="18">
        <v>67</v>
      </c>
      <c r="B456" s="40">
        <v>45429</v>
      </c>
      <c r="C456" s="18" t="s">
        <v>329</v>
      </c>
      <c r="D456" s="18">
        <v>4</v>
      </c>
      <c r="E456" s="17">
        <v>105</v>
      </c>
      <c r="F456" s="17">
        <v>4707</v>
      </c>
      <c r="G456" s="17">
        <v>3561</v>
      </c>
      <c r="H456" s="23">
        <f t="shared" si="7"/>
        <v>1.3218197135636058</v>
      </c>
      <c r="I456" s="17" t="s">
        <v>345</v>
      </c>
    </row>
    <row r="457" spans="1:9" x14ac:dyDescent="0.3">
      <c r="A457" s="18">
        <v>67</v>
      </c>
      <c r="B457" s="40">
        <v>45429</v>
      </c>
      <c r="C457" s="18" t="s">
        <v>345</v>
      </c>
      <c r="D457" s="18">
        <v>5</v>
      </c>
      <c r="E457" s="17">
        <v>105</v>
      </c>
      <c r="F457" s="17">
        <v>2140</v>
      </c>
      <c r="G457" s="17">
        <v>1782</v>
      </c>
      <c r="H457" s="23">
        <f t="shared" si="7"/>
        <v>1.2008978675645343</v>
      </c>
      <c r="I457" s="17" t="s">
        <v>329</v>
      </c>
    </row>
    <row r="458" spans="1:9" x14ac:dyDescent="0.3">
      <c r="A458" s="18">
        <v>67</v>
      </c>
      <c r="B458" s="40">
        <v>45429</v>
      </c>
      <c r="C458" s="18" t="s">
        <v>131</v>
      </c>
      <c r="D458" s="18">
        <v>6</v>
      </c>
      <c r="E458" s="17">
        <v>105</v>
      </c>
      <c r="F458" s="17">
        <v>3871</v>
      </c>
      <c r="G458" s="17">
        <v>2613</v>
      </c>
      <c r="H458" s="23">
        <f t="shared" si="7"/>
        <v>1.4814389590508994</v>
      </c>
      <c r="I458" s="17" t="s">
        <v>276</v>
      </c>
    </row>
    <row r="459" spans="1:9" x14ac:dyDescent="0.3">
      <c r="A459" s="18">
        <v>67</v>
      </c>
      <c r="B459" s="40">
        <v>45429</v>
      </c>
      <c r="C459" s="18" t="s">
        <v>108</v>
      </c>
      <c r="D459" s="18">
        <v>7</v>
      </c>
      <c r="E459" s="17">
        <v>105</v>
      </c>
      <c r="F459" s="17">
        <v>2764</v>
      </c>
      <c r="G459" s="17">
        <v>3422</v>
      </c>
      <c r="H459" s="23">
        <f t="shared" si="7"/>
        <v>0.8077147866744594</v>
      </c>
      <c r="I459" s="17" t="s">
        <v>356</v>
      </c>
    </row>
    <row r="460" spans="1:9" x14ac:dyDescent="0.3">
      <c r="A460" s="18">
        <v>67</v>
      </c>
      <c r="B460" s="40">
        <v>45429</v>
      </c>
      <c r="C460" s="18" t="s">
        <v>357</v>
      </c>
      <c r="D460" s="18">
        <v>8</v>
      </c>
      <c r="E460" s="17">
        <v>97</v>
      </c>
      <c r="F460" s="17">
        <v>460</v>
      </c>
      <c r="G460" s="17">
        <v>1559</v>
      </c>
      <c r="H460" s="23">
        <f t="shared" si="7"/>
        <v>0.29506093649775494</v>
      </c>
      <c r="I460" s="17" t="s">
        <v>131</v>
      </c>
    </row>
    <row r="461" spans="1:9" x14ac:dyDescent="0.3">
      <c r="A461" s="18">
        <v>67</v>
      </c>
      <c r="B461" s="40">
        <v>45429</v>
      </c>
      <c r="C461" s="18" t="s">
        <v>358</v>
      </c>
      <c r="D461" s="18">
        <v>9</v>
      </c>
      <c r="E461" s="17">
        <v>84</v>
      </c>
      <c r="F461" s="17">
        <v>1421</v>
      </c>
      <c r="G461" s="17">
        <v>2821</v>
      </c>
      <c r="H461" s="23">
        <f t="shared" si="7"/>
        <v>0.50372208436724564</v>
      </c>
      <c r="I461" s="17" t="s">
        <v>276</v>
      </c>
    </row>
    <row r="462" spans="1:9" x14ac:dyDescent="0.3">
      <c r="A462" s="18">
        <v>67</v>
      </c>
      <c r="B462" s="40">
        <v>45429</v>
      </c>
      <c r="C462" s="18" t="s">
        <v>347</v>
      </c>
      <c r="D462" s="18">
        <v>10</v>
      </c>
      <c r="E462" s="17">
        <v>76</v>
      </c>
      <c r="F462" s="17">
        <v>358</v>
      </c>
      <c r="G462" s="17">
        <v>632</v>
      </c>
      <c r="H462" s="23">
        <f t="shared" si="7"/>
        <v>0.56645569620253167</v>
      </c>
      <c r="I462" s="17" t="s">
        <v>131</v>
      </c>
    </row>
    <row r="463" spans="1:9" x14ac:dyDescent="0.3">
      <c r="A463" s="18">
        <v>67</v>
      </c>
      <c r="B463" s="40">
        <v>45429</v>
      </c>
      <c r="C463" s="18" t="s">
        <v>197</v>
      </c>
      <c r="D463" s="18">
        <v>11</v>
      </c>
      <c r="E463" s="17">
        <v>63</v>
      </c>
      <c r="F463" s="17">
        <v>100</v>
      </c>
      <c r="G463" s="17">
        <v>515</v>
      </c>
      <c r="H463" s="23">
        <f t="shared" si="7"/>
        <v>0.1941747572815534</v>
      </c>
      <c r="I463" s="17" t="s">
        <v>356</v>
      </c>
    </row>
    <row r="464" spans="1:9" x14ac:dyDescent="0.3">
      <c r="A464" s="18">
        <v>67</v>
      </c>
      <c r="B464" s="40">
        <v>45429</v>
      </c>
      <c r="C464" s="18" t="s">
        <v>359</v>
      </c>
      <c r="D464" s="18">
        <v>12</v>
      </c>
      <c r="E464" s="17">
        <v>40</v>
      </c>
      <c r="F464" s="17">
        <v>652</v>
      </c>
      <c r="G464" s="17">
        <v>578</v>
      </c>
      <c r="H464" s="23">
        <f t="shared" si="7"/>
        <v>1.1280276816608996</v>
      </c>
      <c r="I464" s="17" t="s">
        <v>356</v>
      </c>
    </row>
    <row r="465" spans="1:9" x14ac:dyDescent="0.3">
      <c r="A465" s="18">
        <v>67</v>
      </c>
      <c r="B465" s="40">
        <v>45429</v>
      </c>
      <c r="C465" s="18" t="s">
        <v>193</v>
      </c>
      <c r="D465" s="18">
        <v>13</v>
      </c>
      <c r="E465" s="17">
        <v>31</v>
      </c>
      <c r="F465" s="17">
        <v>196</v>
      </c>
      <c r="G465" s="17">
        <v>695</v>
      </c>
      <c r="H465" s="23">
        <f t="shared" si="7"/>
        <v>0.28201438848920862</v>
      </c>
      <c r="I465" s="17" t="s">
        <v>359</v>
      </c>
    </row>
    <row r="466" spans="1:9" x14ac:dyDescent="0.3">
      <c r="A466" s="18">
        <v>67</v>
      </c>
      <c r="B466" s="40">
        <v>45429</v>
      </c>
      <c r="C466" s="18" t="s">
        <v>304</v>
      </c>
      <c r="D466" s="18">
        <v>14</v>
      </c>
      <c r="E466" s="17">
        <v>14</v>
      </c>
      <c r="F466" s="17">
        <v>89</v>
      </c>
      <c r="G466" s="17">
        <v>159</v>
      </c>
      <c r="H466" s="23">
        <f t="shared" si="7"/>
        <v>0.55974842767295596</v>
      </c>
      <c r="I466" s="17" t="s">
        <v>358</v>
      </c>
    </row>
    <row r="467" spans="1:9" x14ac:dyDescent="0.3">
      <c r="A467" s="18">
        <v>67</v>
      </c>
      <c r="B467" s="40">
        <v>45429</v>
      </c>
      <c r="C467" s="18" t="s">
        <v>360</v>
      </c>
      <c r="D467" s="18">
        <v>15</v>
      </c>
      <c r="E467" s="17">
        <v>11</v>
      </c>
      <c r="F467" s="17">
        <v>65</v>
      </c>
      <c r="G467" s="17">
        <v>144</v>
      </c>
      <c r="H467" s="23">
        <f t="shared" si="7"/>
        <v>0.4513888888888889</v>
      </c>
      <c r="I467" s="17" t="s">
        <v>356</v>
      </c>
    </row>
    <row r="468" spans="1:9" x14ac:dyDescent="0.3">
      <c r="A468" s="18">
        <v>67</v>
      </c>
      <c r="B468" s="40">
        <v>45429</v>
      </c>
      <c r="C468" s="18" t="s">
        <v>361</v>
      </c>
      <c r="D468" s="18">
        <v>16</v>
      </c>
      <c r="E468" s="17">
        <v>10</v>
      </c>
      <c r="F468" s="17">
        <v>110</v>
      </c>
      <c r="G468" s="17">
        <v>149</v>
      </c>
      <c r="H468" s="23">
        <f t="shared" si="7"/>
        <v>0.73825503355704702</v>
      </c>
      <c r="I468" s="17" t="s">
        <v>193</v>
      </c>
    </row>
    <row r="469" spans="1:9" x14ac:dyDescent="0.3">
      <c r="A469" s="18">
        <v>67</v>
      </c>
      <c r="B469" s="40">
        <v>45429</v>
      </c>
      <c r="C469" s="18" t="s">
        <v>362</v>
      </c>
      <c r="D469" s="18">
        <v>17</v>
      </c>
      <c r="E469" s="17">
        <v>9</v>
      </c>
      <c r="F469" s="17">
        <v>53</v>
      </c>
      <c r="G469" s="17">
        <v>121</v>
      </c>
      <c r="H469" s="23">
        <f t="shared" si="7"/>
        <v>0.43801652892561982</v>
      </c>
      <c r="I469" s="17" t="s">
        <v>110</v>
      </c>
    </row>
    <row r="470" spans="1:9" x14ac:dyDescent="0.3">
      <c r="A470" s="18">
        <v>67</v>
      </c>
      <c r="B470" s="40">
        <v>45429</v>
      </c>
      <c r="C470" s="18" t="s">
        <v>363</v>
      </c>
      <c r="D470" s="18">
        <v>18</v>
      </c>
      <c r="E470" s="17">
        <v>8</v>
      </c>
      <c r="F470" s="17">
        <v>43</v>
      </c>
      <c r="G470" s="17">
        <v>98</v>
      </c>
      <c r="H470" s="23">
        <f t="shared" si="7"/>
        <v>0.43877551020408162</v>
      </c>
      <c r="I470" s="17" t="s">
        <v>329</v>
      </c>
    </row>
    <row r="471" spans="1:9" x14ac:dyDescent="0.3">
      <c r="A471" s="18">
        <v>67</v>
      </c>
      <c r="B471" s="40">
        <v>45429</v>
      </c>
      <c r="C471" s="18" t="s">
        <v>364</v>
      </c>
      <c r="D471" s="18">
        <v>19</v>
      </c>
      <c r="E471" s="17">
        <v>8</v>
      </c>
      <c r="F471" s="17">
        <v>21</v>
      </c>
      <c r="G471" s="17">
        <v>60</v>
      </c>
      <c r="H471" s="23">
        <f t="shared" si="7"/>
        <v>0.35</v>
      </c>
      <c r="I471" s="17" t="s">
        <v>217</v>
      </c>
    </row>
    <row r="472" spans="1:9" x14ac:dyDescent="0.3">
      <c r="A472" s="18">
        <v>67</v>
      </c>
      <c r="B472" s="40">
        <v>45429</v>
      </c>
      <c r="C472" s="18" t="s">
        <v>279</v>
      </c>
      <c r="D472" s="18">
        <v>20</v>
      </c>
      <c r="E472" s="17">
        <v>7</v>
      </c>
      <c r="F472" s="17">
        <v>52</v>
      </c>
      <c r="G472" s="17">
        <v>90</v>
      </c>
      <c r="H472" s="23">
        <f t="shared" si="7"/>
        <v>0.57777777777777772</v>
      </c>
      <c r="I472" s="17" t="s">
        <v>108</v>
      </c>
    </row>
    <row r="473" spans="1:9" x14ac:dyDescent="0.3">
      <c r="A473" s="18">
        <v>67</v>
      </c>
      <c r="B473" s="40">
        <v>45429</v>
      </c>
      <c r="C473" s="18" t="s">
        <v>199</v>
      </c>
      <c r="D473" s="18">
        <v>21</v>
      </c>
      <c r="E473" s="17">
        <v>7</v>
      </c>
      <c r="F473" s="17">
        <v>69</v>
      </c>
      <c r="G473" s="17">
        <v>104</v>
      </c>
      <c r="H473" s="23">
        <f t="shared" si="7"/>
        <v>0.66346153846153844</v>
      </c>
      <c r="I473" s="17" t="s">
        <v>276</v>
      </c>
    </row>
    <row r="474" spans="1:9" x14ac:dyDescent="0.3">
      <c r="A474" s="18">
        <v>67</v>
      </c>
      <c r="B474" s="40">
        <v>45429</v>
      </c>
      <c r="C474" s="18" t="s">
        <v>229</v>
      </c>
      <c r="D474" s="18">
        <v>22</v>
      </c>
      <c r="E474" s="17">
        <v>5</v>
      </c>
      <c r="F474" s="17">
        <v>13</v>
      </c>
      <c r="G474" s="17">
        <v>25</v>
      </c>
      <c r="H474" s="23">
        <f t="shared" si="7"/>
        <v>0.52</v>
      </c>
      <c r="I474" s="17" t="s">
        <v>357</v>
      </c>
    </row>
    <row r="475" spans="1:9" x14ac:dyDescent="0.3">
      <c r="A475" s="18">
        <v>67</v>
      </c>
      <c r="B475" s="40">
        <v>45429</v>
      </c>
      <c r="C475" s="18" t="s">
        <v>365</v>
      </c>
      <c r="D475" s="18">
        <v>23</v>
      </c>
      <c r="E475" s="17">
        <v>5</v>
      </c>
      <c r="F475" s="17">
        <v>30</v>
      </c>
      <c r="G475" s="17">
        <v>59</v>
      </c>
      <c r="H475" s="23">
        <f t="shared" si="7"/>
        <v>0.50847457627118642</v>
      </c>
      <c r="I475" s="17" t="s">
        <v>131</v>
      </c>
    </row>
    <row r="476" spans="1:9" x14ac:dyDescent="0.3">
      <c r="A476" s="18">
        <v>68</v>
      </c>
      <c r="B476" s="40">
        <v>45436</v>
      </c>
      <c r="C476" s="18" t="s">
        <v>276</v>
      </c>
      <c r="D476" s="18">
        <v>1</v>
      </c>
      <c r="E476" s="17">
        <v>179</v>
      </c>
      <c r="F476" s="17">
        <v>18455</v>
      </c>
      <c r="G476" s="17">
        <v>12838</v>
      </c>
      <c r="H476" s="23">
        <f t="shared" si="7"/>
        <v>1.4375292101573454</v>
      </c>
      <c r="I476" s="17" t="s">
        <v>366</v>
      </c>
    </row>
    <row r="477" spans="1:9" x14ac:dyDescent="0.3">
      <c r="A477" s="18">
        <v>68</v>
      </c>
      <c r="B477" s="40">
        <v>45436</v>
      </c>
      <c r="C477" s="18" t="s">
        <v>367</v>
      </c>
      <c r="D477" s="18">
        <v>2</v>
      </c>
      <c r="E477" s="17">
        <v>179</v>
      </c>
      <c r="F477" s="17">
        <v>15944</v>
      </c>
      <c r="G477" s="17">
        <v>15691</v>
      </c>
      <c r="H477" s="23">
        <f t="shared" si="7"/>
        <v>1.0161238926773311</v>
      </c>
      <c r="I477" s="17" t="s">
        <v>366</v>
      </c>
    </row>
    <row r="478" spans="1:9" x14ac:dyDescent="0.3">
      <c r="A478" s="18">
        <v>68</v>
      </c>
      <c r="B478" s="40">
        <v>45436</v>
      </c>
      <c r="C478" s="18" t="s">
        <v>359</v>
      </c>
      <c r="D478" s="18">
        <v>3</v>
      </c>
      <c r="E478" s="17">
        <v>179</v>
      </c>
      <c r="F478" s="17">
        <v>16972</v>
      </c>
      <c r="G478" s="17">
        <v>18516</v>
      </c>
      <c r="H478" s="23">
        <f t="shared" si="7"/>
        <v>0.9166126593216678</v>
      </c>
      <c r="I478" s="17" t="s">
        <v>276</v>
      </c>
    </row>
    <row r="479" spans="1:9" x14ac:dyDescent="0.3">
      <c r="A479" s="18">
        <v>68</v>
      </c>
      <c r="B479" s="40">
        <v>45436</v>
      </c>
      <c r="C479" s="18" t="s">
        <v>337</v>
      </c>
      <c r="D479" s="18">
        <v>4</v>
      </c>
      <c r="E479" s="17">
        <v>15</v>
      </c>
      <c r="F479" s="17">
        <v>6544</v>
      </c>
      <c r="G479" s="17">
        <v>7619</v>
      </c>
      <c r="H479" s="23">
        <f t="shared" si="7"/>
        <v>0.85890536815855101</v>
      </c>
      <c r="I479" s="17" t="s">
        <v>368</v>
      </c>
    </row>
    <row r="480" spans="1:9" x14ac:dyDescent="0.3">
      <c r="A480" s="18">
        <v>68</v>
      </c>
      <c r="B480" s="40">
        <v>45436</v>
      </c>
      <c r="C480" s="18" t="s">
        <v>368</v>
      </c>
      <c r="D480" s="18">
        <v>5</v>
      </c>
      <c r="E480" s="17">
        <v>137</v>
      </c>
      <c r="F480" s="17">
        <v>10790</v>
      </c>
      <c r="G480" s="17">
        <v>11821</v>
      </c>
      <c r="H480" s="23">
        <f t="shared" si="7"/>
        <v>0.91278233651975293</v>
      </c>
      <c r="I480" s="17" t="s">
        <v>337</v>
      </c>
    </row>
    <row r="481" spans="1:9" x14ac:dyDescent="0.3">
      <c r="A481" s="18">
        <v>68</v>
      </c>
      <c r="B481" s="40">
        <v>45436</v>
      </c>
      <c r="C481" s="18" t="s">
        <v>282</v>
      </c>
      <c r="D481" s="18">
        <v>6</v>
      </c>
      <c r="E481" s="17">
        <v>99</v>
      </c>
      <c r="F481" s="17">
        <v>2092</v>
      </c>
      <c r="G481" s="17">
        <v>2542</v>
      </c>
      <c r="H481" s="23">
        <f t="shared" si="7"/>
        <v>0.82297403619197484</v>
      </c>
      <c r="I481" s="17" t="s">
        <v>359</v>
      </c>
    </row>
    <row r="482" spans="1:9" x14ac:dyDescent="0.3">
      <c r="A482" s="18">
        <v>68</v>
      </c>
      <c r="B482" s="40">
        <v>45436</v>
      </c>
      <c r="C482" s="18" t="s">
        <v>112</v>
      </c>
      <c r="D482" s="18">
        <v>7</v>
      </c>
      <c r="E482" s="17">
        <v>85</v>
      </c>
      <c r="F482" s="17">
        <v>1407</v>
      </c>
      <c r="G482" s="17">
        <v>1736</v>
      </c>
      <c r="H482" s="23">
        <f t="shared" si="7"/>
        <v>0.81048387096774188</v>
      </c>
      <c r="I482" s="17" t="s">
        <v>276</v>
      </c>
    </row>
    <row r="483" spans="1:9" x14ac:dyDescent="0.3">
      <c r="A483" s="18">
        <v>68</v>
      </c>
      <c r="B483" s="40">
        <v>45436</v>
      </c>
      <c r="C483" s="18" t="s">
        <v>157</v>
      </c>
      <c r="D483" s="18">
        <v>8</v>
      </c>
      <c r="E483" s="17">
        <v>39</v>
      </c>
      <c r="F483" s="17">
        <v>755</v>
      </c>
      <c r="G483" s="17">
        <v>660</v>
      </c>
      <c r="H483" s="23">
        <f t="shared" si="7"/>
        <v>1.143939393939394</v>
      </c>
      <c r="I483" s="17" t="s">
        <v>367</v>
      </c>
    </row>
    <row r="484" spans="1:9" x14ac:dyDescent="0.3">
      <c r="A484" s="18">
        <v>68</v>
      </c>
      <c r="B484" s="40">
        <v>45436</v>
      </c>
      <c r="C484" s="18" t="s">
        <v>164</v>
      </c>
      <c r="D484" s="18">
        <v>9</v>
      </c>
      <c r="E484" s="17">
        <v>23</v>
      </c>
      <c r="F484" s="17">
        <v>162</v>
      </c>
      <c r="G484" s="17">
        <v>254</v>
      </c>
      <c r="H484" s="23">
        <f t="shared" si="7"/>
        <v>0.63779527559055116</v>
      </c>
      <c r="I484" s="17" t="s">
        <v>367</v>
      </c>
    </row>
    <row r="485" spans="1:9" x14ac:dyDescent="0.3">
      <c r="A485" s="18">
        <v>68</v>
      </c>
      <c r="B485" s="40">
        <v>45436</v>
      </c>
      <c r="C485" s="18" t="s">
        <v>131</v>
      </c>
      <c r="D485" s="18">
        <v>10</v>
      </c>
      <c r="E485" s="17">
        <v>22</v>
      </c>
      <c r="F485" s="17">
        <v>225</v>
      </c>
      <c r="G485" s="17">
        <v>354</v>
      </c>
      <c r="H485" s="23">
        <f t="shared" si="7"/>
        <v>0.63559322033898302</v>
      </c>
      <c r="I485" s="17" t="s">
        <v>368</v>
      </c>
    </row>
    <row r="486" spans="1:9" x14ac:dyDescent="0.3">
      <c r="A486" s="18">
        <v>68</v>
      </c>
      <c r="B486" s="40">
        <v>45436</v>
      </c>
      <c r="C486" s="18" t="s">
        <v>259</v>
      </c>
      <c r="D486" s="18">
        <v>11</v>
      </c>
      <c r="E486" s="17">
        <v>21</v>
      </c>
      <c r="F486" s="17">
        <v>271</v>
      </c>
      <c r="G486" s="17">
        <v>422</v>
      </c>
      <c r="H486" s="23">
        <f t="shared" si="7"/>
        <v>0.64218009478672988</v>
      </c>
      <c r="I486" s="17" t="s">
        <v>369</v>
      </c>
    </row>
    <row r="487" spans="1:9" x14ac:dyDescent="0.3">
      <c r="A487" s="18">
        <v>68</v>
      </c>
      <c r="B487" s="40">
        <v>45436</v>
      </c>
      <c r="C487" s="18" t="s">
        <v>370</v>
      </c>
      <c r="D487" s="18">
        <v>12</v>
      </c>
      <c r="E487" s="17">
        <v>17</v>
      </c>
      <c r="F487" s="17">
        <v>183</v>
      </c>
      <c r="G487" s="17">
        <v>147</v>
      </c>
      <c r="H487" s="23">
        <f t="shared" si="7"/>
        <v>1.2448979591836735</v>
      </c>
      <c r="I487" s="17" t="s">
        <v>371</v>
      </c>
    </row>
    <row r="488" spans="1:9" x14ac:dyDescent="0.3">
      <c r="A488" s="18">
        <v>68</v>
      </c>
      <c r="B488" s="40">
        <v>45436</v>
      </c>
      <c r="C488" s="18" t="s">
        <v>237</v>
      </c>
      <c r="D488" s="18">
        <v>13</v>
      </c>
      <c r="E488" s="17">
        <v>17</v>
      </c>
      <c r="F488" s="17">
        <v>199</v>
      </c>
      <c r="G488" s="17">
        <v>286</v>
      </c>
      <c r="H488" s="23">
        <f t="shared" si="7"/>
        <v>0.69580419580419584</v>
      </c>
      <c r="I488" s="17" t="s">
        <v>276</v>
      </c>
    </row>
    <row r="489" spans="1:9" x14ac:dyDescent="0.3">
      <c r="A489" s="18">
        <v>68</v>
      </c>
      <c r="B489" s="40">
        <v>45436</v>
      </c>
      <c r="C489" s="18" t="s">
        <v>372</v>
      </c>
      <c r="D489" s="18">
        <v>14</v>
      </c>
      <c r="E489" s="17">
        <v>17</v>
      </c>
      <c r="F489" s="17">
        <v>272</v>
      </c>
      <c r="G489" s="17">
        <v>339</v>
      </c>
      <c r="H489" s="23">
        <f t="shared" si="7"/>
        <v>0.80235988200589969</v>
      </c>
      <c r="I489" s="17" t="s">
        <v>368</v>
      </c>
    </row>
    <row r="490" spans="1:9" x14ac:dyDescent="0.3">
      <c r="A490" s="18">
        <v>68</v>
      </c>
      <c r="B490" s="40">
        <v>45436</v>
      </c>
      <c r="C490" s="17" t="s">
        <v>144</v>
      </c>
      <c r="D490" s="18">
        <v>15</v>
      </c>
      <c r="E490" s="17">
        <v>0</v>
      </c>
      <c r="F490" s="17">
        <v>63</v>
      </c>
      <c r="G490" s="17">
        <v>95</v>
      </c>
      <c r="H490" s="23">
        <f t="shared" si="7"/>
        <v>0.66315789473684206</v>
      </c>
      <c r="I490" s="17" t="s">
        <v>157</v>
      </c>
    </row>
    <row r="491" spans="1:9" x14ac:dyDescent="0.3">
      <c r="A491" s="18">
        <v>68</v>
      </c>
      <c r="B491" s="40">
        <v>45436</v>
      </c>
      <c r="C491" s="18" t="s">
        <v>239</v>
      </c>
      <c r="D491" s="18">
        <v>16</v>
      </c>
      <c r="E491" s="17">
        <v>14</v>
      </c>
      <c r="F491" s="17">
        <v>38</v>
      </c>
      <c r="G491" s="17">
        <v>83</v>
      </c>
      <c r="H491" s="23">
        <f t="shared" si="7"/>
        <v>0.45783132530120479</v>
      </c>
      <c r="I491" s="17" t="s">
        <v>157</v>
      </c>
    </row>
    <row r="492" spans="1:9" x14ac:dyDescent="0.3">
      <c r="A492" s="18">
        <v>68</v>
      </c>
      <c r="B492" s="40">
        <v>45436</v>
      </c>
      <c r="C492" s="18" t="s">
        <v>254</v>
      </c>
      <c r="D492" s="18">
        <v>17</v>
      </c>
      <c r="E492" s="17">
        <v>11</v>
      </c>
      <c r="F492" s="17">
        <v>44</v>
      </c>
      <c r="G492" s="17">
        <v>90</v>
      </c>
      <c r="H492" s="23">
        <f t="shared" si="7"/>
        <v>0.48888888888888887</v>
      </c>
      <c r="I492" s="17" t="s">
        <v>125</v>
      </c>
    </row>
    <row r="493" spans="1:9" x14ac:dyDescent="0.3">
      <c r="A493" s="18">
        <v>68</v>
      </c>
      <c r="B493" s="40">
        <v>45436</v>
      </c>
      <c r="C493" s="18" t="s">
        <v>300</v>
      </c>
      <c r="D493" s="18">
        <v>18</v>
      </c>
      <c r="E493" s="17">
        <v>10</v>
      </c>
      <c r="F493" s="17">
        <v>40</v>
      </c>
      <c r="G493" s="17">
        <v>76</v>
      </c>
      <c r="H493" s="23">
        <f t="shared" si="7"/>
        <v>0.52631578947368418</v>
      </c>
      <c r="I493" s="17" t="s">
        <v>358</v>
      </c>
    </row>
    <row r="494" spans="1:9" x14ac:dyDescent="0.3">
      <c r="A494" s="18">
        <v>68</v>
      </c>
      <c r="B494" s="40">
        <v>45436</v>
      </c>
      <c r="C494" s="18" t="s">
        <v>247</v>
      </c>
      <c r="D494" s="18">
        <v>19</v>
      </c>
      <c r="E494" s="17">
        <v>9</v>
      </c>
      <c r="F494" s="17">
        <v>29</v>
      </c>
      <c r="G494" s="17">
        <v>62</v>
      </c>
      <c r="H494" s="23">
        <f t="shared" si="7"/>
        <v>0.46774193548387094</v>
      </c>
      <c r="I494" s="17" t="s">
        <v>112</v>
      </c>
    </row>
    <row r="495" spans="1:9" x14ac:dyDescent="0.3">
      <c r="A495" s="18">
        <v>68</v>
      </c>
      <c r="B495" s="40">
        <v>45436</v>
      </c>
      <c r="C495" s="18" t="s">
        <v>273</v>
      </c>
      <c r="D495" s="18">
        <v>20</v>
      </c>
      <c r="E495" s="17">
        <v>6</v>
      </c>
      <c r="F495" s="17">
        <v>24</v>
      </c>
      <c r="G495" s="17">
        <v>42</v>
      </c>
      <c r="H495" s="23">
        <f t="shared" si="7"/>
        <v>0.5714285714285714</v>
      </c>
      <c r="I495" s="17" t="s">
        <v>157</v>
      </c>
    </row>
    <row r="496" spans="1:9" x14ac:dyDescent="0.3">
      <c r="A496" s="18">
        <v>68</v>
      </c>
      <c r="B496" s="40">
        <v>45436</v>
      </c>
      <c r="C496" s="18" t="s">
        <v>274</v>
      </c>
      <c r="D496" s="18">
        <v>21</v>
      </c>
      <c r="E496" s="17">
        <v>5</v>
      </c>
      <c r="F496" s="17">
        <v>28</v>
      </c>
      <c r="G496" s="17">
        <v>53</v>
      </c>
      <c r="H496" s="23">
        <f t="shared" si="7"/>
        <v>0.52830188679245282</v>
      </c>
      <c r="I496" s="17" t="s">
        <v>359</v>
      </c>
    </row>
    <row r="497" spans="1:9" x14ac:dyDescent="0.3">
      <c r="A497" s="18">
        <v>68</v>
      </c>
      <c r="B497" s="40">
        <v>45436</v>
      </c>
      <c r="C497" s="18" t="s">
        <v>373</v>
      </c>
      <c r="D497" s="18">
        <v>22</v>
      </c>
      <c r="E497" s="17">
        <v>5</v>
      </c>
      <c r="F497" s="17">
        <v>19</v>
      </c>
      <c r="G497" s="17">
        <v>44</v>
      </c>
      <c r="H497" s="23">
        <f t="shared" si="7"/>
        <v>0.43181818181818182</v>
      </c>
      <c r="I497" s="17" t="s">
        <v>276</v>
      </c>
    </row>
    <row r="498" spans="1:9" x14ac:dyDescent="0.3">
      <c r="A498" s="18">
        <v>68</v>
      </c>
      <c r="B498" s="40">
        <v>45436</v>
      </c>
      <c r="C498" s="18" t="s">
        <v>374</v>
      </c>
      <c r="D498" s="18">
        <v>23</v>
      </c>
      <c r="E498" s="17">
        <v>4</v>
      </c>
      <c r="F498" s="17">
        <v>16</v>
      </c>
      <c r="G498" s="17">
        <v>38</v>
      </c>
      <c r="H498" s="23">
        <f t="shared" si="7"/>
        <v>0.42105263157894735</v>
      </c>
      <c r="I498" s="17" t="s">
        <v>368</v>
      </c>
    </row>
    <row r="499" spans="1:9" x14ac:dyDescent="0.3">
      <c r="A499" s="18">
        <v>69</v>
      </c>
      <c r="B499" s="40">
        <v>45443</v>
      </c>
      <c r="C499" s="18" t="s">
        <v>157</v>
      </c>
      <c r="D499" s="18">
        <v>1</v>
      </c>
      <c r="E499" s="17">
        <v>119</v>
      </c>
      <c r="F499" s="17">
        <v>19655</v>
      </c>
      <c r="G499" s="17">
        <v>14800</v>
      </c>
      <c r="H499" s="23">
        <f t="shared" si="7"/>
        <v>1.3280405405405404</v>
      </c>
      <c r="I499" s="17" t="s">
        <v>375</v>
      </c>
    </row>
    <row r="500" spans="1:9" x14ac:dyDescent="0.3">
      <c r="A500" s="18">
        <v>69</v>
      </c>
      <c r="B500" s="40">
        <v>45443</v>
      </c>
      <c r="C500" s="18" t="s">
        <v>375</v>
      </c>
      <c r="D500" s="18">
        <v>2</v>
      </c>
      <c r="E500" s="17">
        <v>119</v>
      </c>
      <c r="F500" s="17">
        <v>15022</v>
      </c>
      <c r="G500" s="17">
        <v>16445</v>
      </c>
      <c r="H500" s="23">
        <f t="shared" si="7"/>
        <v>0.9134691395560961</v>
      </c>
      <c r="I500" s="17" t="s">
        <v>105</v>
      </c>
    </row>
    <row r="501" spans="1:9" x14ac:dyDescent="0.3">
      <c r="A501" s="18">
        <v>69</v>
      </c>
      <c r="B501" s="40">
        <v>45443</v>
      </c>
      <c r="C501" s="18" t="s">
        <v>237</v>
      </c>
      <c r="D501" s="18">
        <v>3</v>
      </c>
      <c r="E501" s="17">
        <v>119</v>
      </c>
      <c r="F501" s="17">
        <v>2065</v>
      </c>
      <c r="G501" s="17">
        <v>1972</v>
      </c>
      <c r="H501" s="23">
        <f t="shared" si="7"/>
        <v>1.0471602434077079</v>
      </c>
      <c r="I501" s="17" t="s">
        <v>105</v>
      </c>
    </row>
    <row r="502" spans="1:9" x14ac:dyDescent="0.3">
      <c r="A502" s="18">
        <v>69</v>
      </c>
      <c r="B502" s="40">
        <v>45443</v>
      </c>
      <c r="C502" s="18" t="s">
        <v>262</v>
      </c>
      <c r="D502" s="18">
        <v>4</v>
      </c>
      <c r="E502" s="17">
        <v>106</v>
      </c>
      <c r="F502" s="17">
        <v>3194</v>
      </c>
      <c r="G502" s="17">
        <v>4068</v>
      </c>
      <c r="H502" s="23">
        <f t="shared" si="7"/>
        <v>0.78515240904621431</v>
      </c>
      <c r="I502" s="17" t="s">
        <v>157</v>
      </c>
    </row>
    <row r="503" spans="1:9" x14ac:dyDescent="0.3">
      <c r="A503" s="18">
        <v>69</v>
      </c>
      <c r="B503" s="40">
        <v>45443</v>
      </c>
      <c r="C503" s="18" t="s">
        <v>276</v>
      </c>
      <c r="D503" s="18">
        <v>5</v>
      </c>
      <c r="E503" s="17">
        <v>102</v>
      </c>
      <c r="F503" s="17">
        <v>6491</v>
      </c>
      <c r="G503" s="17">
        <v>7234</v>
      </c>
      <c r="H503" s="23">
        <f t="shared" si="7"/>
        <v>0.8972905722974841</v>
      </c>
      <c r="I503" s="17" t="s">
        <v>375</v>
      </c>
    </row>
    <row r="504" spans="1:9" x14ac:dyDescent="0.3">
      <c r="A504" s="18">
        <v>69</v>
      </c>
      <c r="B504" s="40">
        <v>45443</v>
      </c>
      <c r="C504" s="18" t="s">
        <v>142</v>
      </c>
      <c r="D504" s="18">
        <v>6</v>
      </c>
      <c r="E504" s="17">
        <v>88</v>
      </c>
      <c r="F504" s="17">
        <v>2034</v>
      </c>
      <c r="G504" s="17">
        <v>2340</v>
      </c>
      <c r="H504" s="23">
        <f t="shared" si="7"/>
        <v>0.86923076923076925</v>
      </c>
      <c r="I504" s="17" t="s">
        <v>376</v>
      </c>
    </row>
    <row r="505" spans="1:9" x14ac:dyDescent="0.3">
      <c r="A505" s="18">
        <v>69</v>
      </c>
      <c r="B505" s="40">
        <v>45443</v>
      </c>
      <c r="C505" s="18" t="s">
        <v>342</v>
      </c>
      <c r="D505" s="18">
        <v>7</v>
      </c>
      <c r="E505" s="17">
        <v>32</v>
      </c>
      <c r="F505" s="17">
        <v>708</v>
      </c>
      <c r="G505" s="17">
        <v>1170</v>
      </c>
      <c r="H505" s="23">
        <f t="shared" si="7"/>
        <v>0.60512820512820509</v>
      </c>
      <c r="I505" s="17" t="s">
        <v>157</v>
      </c>
    </row>
    <row r="506" spans="1:9" x14ac:dyDescent="0.3">
      <c r="A506" s="18">
        <v>69</v>
      </c>
      <c r="B506" s="40">
        <v>45443</v>
      </c>
      <c r="C506" s="18" t="s">
        <v>377</v>
      </c>
      <c r="D506" s="18">
        <v>8</v>
      </c>
      <c r="E506" s="17">
        <v>30</v>
      </c>
      <c r="F506" s="17">
        <v>704</v>
      </c>
      <c r="G506" s="17">
        <v>937</v>
      </c>
      <c r="H506" s="23">
        <f t="shared" si="7"/>
        <v>0.75133404482390609</v>
      </c>
      <c r="I506" s="17" t="s">
        <v>276</v>
      </c>
    </row>
    <row r="507" spans="1:9" x14ac:dyDescent="0.3">
      <c r="A507" s="18">
        <v>69</v>
      </c>
      <c r="B507" s="40">
        <v>45443</v>
      </c>
      <c r="C507" s="18" t="s">
        <v>378</v>
      </c>
      <c r="D507" s="18">
        <v>9</v>
      </c>
      <c r="E507" s="17">
        <v>25</v>
      </c>
      <c r="F507" s="17">
        <v>333</v>
      </c>
      <c r="G507" s="17">
        <v>530</v>
      </c>
      <c r="H507" s="23">
        <f t="shared" si="7"/>
        <v>0.6283018867924528</v>
      </c>
      <c r="I507" s="17" t="s">
        <v>157</v>
      </c>
    </row>
    <row r="508" spans="1:9" x14ac:dyDescent="0.3">
      <c r="A508" s="18">
        <v>69</v>
      </c>
      <c r="B508" s="40">
        <v>45443</v>
      </c>
      <c r="C508" s="18" t="s">
        <v>360</v>
      </c>
      <c r="D508" s="18">
        <v>10</v>
      </c>
      <c r="E508" s="17">
        <v>20</v>
      </c>
      <c r="F508" s="17">
        <v>311</v>
      </c>
      <c r="G508" s="17">
        <v>492</v>
      </c>
      <c r="H508" s="23">
        <f t="shared" si="7"/>
        <v>0.63211382113821135</v>
      </c>
      <c r="I508" s="17" t="s">
        <v>375</v>
      </c>
    </row>
    <row r="509" spans="1:9" x14ac:dyDescent="0.3">
      <c r="A509" s="18">
        <v>69</v>
      </c>
      <c r="B509" s="40">
        <v>45443</v>
      </c>
      <c r="C509" s="18" t="s">
        <v>251</v>
      </c>
      <c r="D509" s="18">
        <v>11</v>
      </c>
      <c r="E509" s="17">
        <v>17</v>
      </c>
      <c r="F509" s="17">
        <v>195</v>
      </c>
      <c r="G509" s="17">
        <v>121</v>
      </c>
      <c r="H509" s="23">
        <f t="shared" si="7"/>
        <v>1.6115702479338843</v>
      </c>
      <c r="I509" s="17" t="s">
        <v>378</v>
      </c>
    </row>
    <row r="510" spans="1:9" x14ac:dyDescent="0.3">
      <c r="A510" s="18">
        <v>69</v>
      </c>
      <c r="B510" s="40">
        <v>45443</v>
      </c>
      <c r="C510" s="18" t="s">
        <v>109</v>
      </c>
      <c r="D510" s="18">
        <v>12</v>
      </c>
      <c r="E510" s="17">
        <v>10</v>
      </c>
      <c r="F510" s="17">
        <v>71</v>
      </c>
      <c r="G510" s="17">
        <v>95</v>
      </c>
      <c r="H510" s="23">
        <f t="shared" si="7"/>
        <v>0.74736842105263157</v>
      </c>
      <c r="I510" s="17" t="s">
        <v>360</v>
      </c>
    </row>
    <row r="511" spans="1:9" x14ac:dyDescent="0.3">
      <c r="A511" s="18">
        <v>69</v>
      </c>
      <c r="B511" s="40">
        <v>45443</v>
      </c>
      <c r="C511" s="18" t="s">
        <v>345</v>
      </c>
      <c r="D511" s="18">
        <v>13</v>
      </c>
      <c r="E511" s="17">
        <v>10</v>
      </c>
      <c r="F511" s="17">
        <v>149</v>
      </c>
      <c r="G511" s="17">
        <v>143</v>
      </c>
      <c r="H511" s="23">
        <f t="shared" si="7"/>
        <v>1.0419580419580419</v>
      </c>
      <c r="I511" s="17" t="s">
        <v>379</v>
      </c>
    </row>
    <row r="512" spans="1:9" x14ac:dyDescent="0.3">
      <c r="A512" s="18">
        <v>69</v>
      </c>
      <c r="B512" s="40">
        <v>45443</v>
      </c>
      <c r="C512" s="18" t="s">
        <v>278</v>
      </c>
      <c r="D512" s="18">
        <v>14</v>
      </c>
      <c r="E512" s="17">
        <v>9</v>
      </c>
      <c r="F512" s="17">
        <v>131</v>
      </c>
      <c r="G512" s="17">
        <v>189</v>
      </c>
      <c r="H512" s="23">
        <f t="shared" si="7"/>
        <v>0.69312169312169314</v>
      </c>
      <c r="I512" s="17" t="s">
        <v>125</v>
      </c>
    </row>
    <row r="513" spans="1:9" x14ac:dyDescent="0.3">
      <c r="A513" s="18">
        <v>69</v>
      </c>
      <c r="B513" s="40">
        <v>45443</v>
      </c>
      <c r="C513" s="18" t="s">
        <v>380</v>
      </c>
      <c r="D513" s="18">
        <v>15</v>
      </c>
      <c r="E513" s="17">
        <v>8</v>
      </c>
      <c r="F513" s="17">
        <v>69</v>
      </c>
      <c r="G513" s="17">
        <v>123</v>
      </c>
      <c r="H513" s="23">
        <f t="shared" si="7"/>
        <v>0.56097560975609762</v>
      </c>
      <c r="I513" s="17" t="s">
        <v>345</v>
      </c>
    </row>
    <row r="514" spans="1:9" x14ac:dyDescent="0.3">
      <c r="A514" s="18">
        <v>69</v>
      </c>
      <c r="B514" s="40">
        <v>45443</v>
      </c>
      <c r="C514" s="18" t="s">
        <v>381</v>
      </c>
      <c r="D514" s="18">
        <v>16</v>
      </c>
      <c r="E514" s="17">
        <v>8</v>
      </c>
      <c r="F514" s="17">
        <v>27</v>
      </c>
      <c r="G514" s="17">
        <v>55</v>
      </c>
      <c r="H514" s="23">
        <f t="shared" ref="H514:H577" si="8">F514/G514</f>
        <v>0.49090909090909091</v>
      </c>
      <c r="I514" s="17" t="s">
        <v>276</v>
      </c>
    </row>
    <row r="515" spans="1:9" x14ac:dyDescent="0.3">
      <c r="A515" s="18">
        <v>69</v>
      </c>
      <c r="B515" s="40">
        <v>45443</v>
      </c>
      <c r="C515" s="18" t="s">
        <v>382</v>
      </c>
      <c r="D515" s="18">
        <v>17</v>
      </c>
      <c r="E515" s="17">
        <v>7</v>
      </c>
      <c r="F515" s="17">
        <v>30</v>
      </c>
      <c r="G515" s="17">
        <v>66</v>
      </c>
      <c r="H515" s="23">
        <f t="shared" si="8"/>
        <v>0.45454545454545453</v>
      </c>
      <c r="I515" s="17" t="s">
        <v>276</v>
      </c>
    </row>
    <row r="516" spans="1:9" x14ac:dyDescent="0.3">
      <c r="A516" s="18">
        <v>69</v>
      </c>
      <c r="B516" s="40">
        <v>45443</v>
      </c>
      <c r="C516" s="18" t="s">
        <v>383</v>
      </c>
      <c r="D516" s="18">
        <v>18</v>
      </c>
      <c r="E516" s="17">
        <v>6</v>
      </c>
      <c r="F516" s="17">
        <v>31</v>
      </c>
      <c r="G516" s="17">
        <v>49</v>
      </c>
      <c r="H516" s="23">
        <f t="shared" si="8"/>
        <v>0.63265306122448983</v>
      </c>
      <c r="I516" s="17" t="s">
        <v>375</v>
      </c>
    </row>
    <row r="517" spans="1:9" x14ac:dyDescent="0.3">
      <c r="A517" s="18">
        <v>69</v>
      </c>
      <c r="B517" s="40">
        <v>45443</v>
      </c>
      <c r="C517" s="18" t="s">
        <v>384</v>
      </c>
      <c r="D517" s="18">
        <v>19</v>
      </c>
      <c r="E517" s="17">
        <v>5</v>
      </c>
      <c r="F517" s="17">
        <v>15</v>
      </c>
      <c r="G517" s="17">
        <v>26</v>
      </c>
      <c r="H517" s="23">
        <f t="shared" si="8"/>
        <v>0.57692307692307687</v>
      </c>
      <c r="I517" s="17" t="s">
        <v>385</v>
      </c>
    </row>
    <row r="518" spans="1:9" x14ac:dyDescent="0.3">
      <c r="A518" s="18">
        <v>69</v>
      </c>
      <c r="B518" s="40">
        <v>45443</v>
      </c>
      <c r="C518" s="18" t="s">
        <v>130</v>
      </c>
      <c r="D518" s="18">
        <v>20</v>
      </c>
      <c r="E518" s="17">
        <v>4</v>
      </c>
      <c r="F518" s="17">
        <v>19</v>
      </c>
      <c r="G518" s="17">
        <v>33</v>
      </c>
      <c r="H518" s="23">
        <f t="shared" si="8"/>
        <v>0.5757575757575758</v>
      </c>
      <c r="I518" s="17" t="s">
        <v>125</v>
      </c>
    </row>
    <row r="519" spans="1:9" x14ac:dyDescent="0.3">
      <c r="A519" s="18">
        <v>69</v>
      </c>
      <c r="B519" s="40">
        <v>45443</v>
      </c>
      <c r="C519" s="18" t="s">
        <v>347</v>
      </c>
      <c r="D519" s="18">
        <v>21</v>
      </c>
      <c r="E519" s="17">
        <v>2</v>
      </c>
      <c r="F519" s="17">
        <v>1</v>
      </c>
      <c r="G519" s="17">
        <v>2</v>
      </c>
      <c r="H519" s="23">
        <f t="shared" si="8"/>
        <v>0.5</v>
      </c>
      <c r="I519" s="17" t="s">
        <v>342</v>
      </c>
    </row>
    <row r="520" spans="1:9" x14ac:dyDescent="0.3">
      <c r="A520" s="18">
        <v>69</v>
      </c>
      <c r="B520" s="40">
        <v>45443</v>
      </c>
      <c r="C520" s="18" t="s">
        <v>386</v>
      </c>
      <c r="D520" s="18">
        <v>22</v>
      </c>
      <c r="E520" s="17">
        <v>2</v>
      </c>
      <c r="F520" s="17">
        <v>3</v>
      </c>
      <c r="G520" s="17">
        <v>7</v>
      </c>
      <c r="H520" s="23">
        <f t="shared" si="8"/>
        <v>0.42857142857142855</v>
      </c>
      <c r="I520" s="17" t="s">
        <v>378</v>
      </c>
    </row>
    <row r="521" spans="1:9" x14ac:dyDescent="0.3">
      <c r="A521" s="18">
        <v>69</v>
      </c>
      <c r="B521" s="40">
        <v>45443</v>
      </c>
      <c r="C521" s="18" t="s">
        <v>387</v>
      </c>
      <c r="D521" s="18">
        <v>23</v>
      </c>
      <c r="E521" s="17">
        <v>2</v>
      </c>
      <c r="F521" s="17">
        <v>1</v>
      </c>
      <c r="G521" s="17">
        <v>3</v>
      </c>
      <c r="H521" s="23">
        <f t="shared" si="8"/>
        <v>0.33333333333333331</v>
      </c>
      <c r="I521" s="17" t="s">
        <v>276</v>
      </c>
    </row>
    <row r="522" spans="1:9" x14ac:dyDescent="0.3">
      <c r="A522" s="18">
        <v>70</v>
      </c>
      <c r="B522" s="40">
        <v>45450</v>
      </c>
      <c r="C522" s="18" t="s">
        <v>105</v>
      </c>
      <c r="D522" s="18">
        <v>1</v>
      </c>
      <c r="E522" s="17">
        <v>111</v>
      </c>
      <c r="F522" s="17">
        <v>10425</v>
      </c>
      <c r="G522" s="17">
        <v>8938</v>
      </c>
      <c r="H522" s="23">
        <f t="shared" si="8"/>
        <v>1.1663683150592974</v>
      </c>
      <c r="I522" s="17" t="s">
        <v>388</v>
      </c>
    </row>
    <row r="523" spans="1:9" x14ac:dyDescent="0.3">
      <c r="A523" s="18">
        <v>70</v>
      </c>
      <c r="B523" s="40">
        <v>45450</v>
      </c>
      <c r="C523" s="18" t="s">
        <v>388</v>
      </c>
      <c r="D523" s="18">
        <v>2</v>
      </c>
      <c r="E523" s="17">
        <v>111</v>
      </c>
      <c r="F523" s="17">
        <v>12789</v>
      </c>
      <c r="G523" s="17">
        <v>13004</v>
      </c>
      <c r="H523" s="23">
        <f t="shared" si="8"/>
        <v>0.98346662565364507</v>
      </c>
      <c r="I523" s="17" t="s">
        <v>157</v>
      </c>
    </row>
    <row r="524" spans="1:9" x14ac:dyDescent="0.3">
      <c r="A524" s="18">
        <v>70</v>
      </c>
      <c r="B524" s="40">
        <v>45450</v>
      </c>
      <c r="C524" s="18" t="s">
        <v>389</v>
      </c>
      <c r="D524" s="18">
        <v>3</v>
      </c>
      <c r="E524" s="17">
        <v>111</v>
      </c>
      <c r="F524" s="17">
        <v>4508</v>
      </c>
      <c r="G524" s="17">
        <v>4824</v>
      </c>
      <c r="H524" s="23">
        <f t="shared" si="8"/>
        <v>0.93449419568822556</v>
      </c>
      <c r="I524" s="17" t="s">
        <v>390</v>
      </c>
    </row>
    <row r="525" spans="1:9" x14ac:dyDescent="0.3">
      <c r="A525" s="18">
        <v>70</v>
      </c>
      <c r="B525" s="40">
        <v>45450</v>
      </c>
      <c r="C525" s="18" t="s">
        <v>130</v>
      </c>
      <c r="D525" s="18">
        <v>4</v>
      </c>
      <c r="E525" s="17">
        <v>111</v>
      </c>
      <c r="F525" s="17">
        <v>3138</v>
      </c>
      <c r="G525" s="17">
        <v>2544</v>
      </c>
      <c r="H525" s="23">
        <f t="shared" si="8"/>
        <v>1.2334905660377358</v>
      </c>
      <c r="I525" s="17" t="s">
        <v>323</v>
      </c>
    </row>
    <row r="526" spans="1:9" x14ac:dyDescent="0.3">
      <c r="A526" s="18">
        <v>70</v>
      </c>
      <c r="B526" s="40">
        <v>45450</v>
      </c>
      <c r="C526" s="18" t="s">
        <v>391</v>
      </c>
      <c r="D526" s="18">
        <v>5</v>
      </c>
      <c r="E526" s="17">
        <v>110</v>
      </c>
      <c r="F526" s="17">
        <v>4100</v>
      </c>
      <c r="G526" s="17">
        <v>3124</v>
      </c>
      <c r="H526" s="23">
        <f t="shared" si="8"/>
        <v>1.3124199743918055</v>
      </c>
      <c r="I526" s="17" t="s">
        <v>323</v>
      </c>
    </row>
    <row r="527" spans="1:9" x14ac:dyDescent="0.3">
      <c r="A527" s="18">
        <v>70</v>
      </c>
      <c r="B527" s="40">
        <v>45450</v>
      </c>
      <c r="C527" s="18" t="s">
        <v>206</v>
      </c>
      <c r="D527" s="18">
        <v>6</v>
      </c>
      <c r="E527" s="17">
        <v>95</v>
      </c>
      <c r="F527" s="17">
        <v>2813</v>
      </c>
      <c r="G527" s="17">
        <v>3478</v>
      </c>
      <c r="H527" s="23">
        <f t="shared" si="8"/>
        <v>0.80879815986198966</v>
      </c>
      <c r="I527" s="17" t="s">
        <v>392</v>
      </c>
    </row>
    <row r="528" spans="1:9" x14ac:dyDescent="0.3">
      <c r="A528" s="18">
        <v>70</v>
      </c>
      <c r="B528" s="40">
        <v>45450</v>
      </c>
      <c r="C528" s="18" t="s">
        <v>142</v>
      </c>
      <c r="D528" s="18">
        <v>7</v>
      </c>
      <c r="E528" s="17">
        <v>64</v>
      </c>
      <c r="F528" s="17">
        <v>1247</v>
      </c>
      <c r="G528" s="17">
        <v>1689</v>
      </c>
      <c r="H528" s="23">
        <f t="shared" si="8"/>
        <v>0.73830669034931917</v>
      </c>
      <c r="I528" s="17" t="s">
        <v>301</v>
      </c>
    </row>
    <row r="529" spans="1:9" x14ac:dyDescent="0.3">
      <c r="A529" s="18">
        <v>70</v>
      </c>
      <c r="B529" s="40">
        <v>45450</v>
      </c>
      <c r="C529" s="18" t="s">
        <v>235</v>
      </c>
      <c r="D529" s="18">
        <v>8</v>
      </c>
      <c r="E529" s="17">
        <v>58</v>
      </c>
      <c r="F529" s="17">
        <v>371</v>
      </c>
      <c r="G529" s="17">
        <v>474</v>
      </c>
      <c r="H529" s="23">
        <f t="shared" si="8"/>
        <v>0.78270042194092826</v>
      </c>
      <c r="I529" s="17" t="s">
        <v>393</v>
      </c>
    </row>
    <row r="530" spans="1:9" x14ac:dyDescent="0.3">
      <c r="A530" s="18">
        <v>70</v>
      </c>
      <c r="B530" s="40">
        <v>45450</v>
      </c>
      <c r="C530" s="18" t="s">
        <v>375</v>
      </c>
      <c r="D530" s="18">
        <v>9</v>
      </c>
      <c r="E530" s="17">
        <v>54</v>
      </c>
      <c r="F530" s="17">
        <v>2130</v>
      </c>
      <c r="G530" s="17">
        <v>2263</v>
      </c>
      <c r="H530" s="23">
        <f t="shared" si="8"/>
        <v>0.94122845779938136</v>
      </c>
      <c r="I530" s="17" t="s">
        <v>247</v>
      </c>
    </row>
    <row r="531" spans="1:9" x14ac:dyDescent="0.3">
      <c r="A531" s="18">
        <v>70</v>
      </c>
      <c r="B531" s="40">
        <v>45450</v>
      </c>
      <c r="C531" s="18" t="s">
        <v>198</v>
      </c>
      <c r="D531" s="18">
        <v>10</v>
      </c>
      <c r="E531" s="17">
        <v>46</v>
      </c>
      <c r="F531" s="17">
        <v>1032</v>
      </c>
      <c r="G531" s="17">
        <v>1110</v>
      </c>
      <c r="H531" s="23">
        <f t="shared" si="8"/>
        <v>0.92972972972972978</v>
      </c>
      <c r="I531" s="17" t="s">
        <v>264</v>
      </c>
    </row>
    <row r="532" spans="1:9" x14ac:dyDescent="0.3">
      <c r="A532" s="18">
        <v>70</v>
      </c>
      <c r="B532" s="40">
        <v>45450</v>
      </c>
      <c r="C532" s="18" t="s">
        <v>217</v>
      </c>
      <c r="D532" s="18">
        <v>11</v>
      </c>
      <c r="E532" s="17">
        <v>40</v>
      </c>
      <c r="F532" s="17">
        <v>274</v>
      </c>
      <c r="G532" s="17">
        <v>368</v>
      </c>
      <c r="H532" s="23">
        <f t="shared" si="8"/>
        <v>0.74456521739130432</v>
      </c>
      <c r="I532" s="17" t="s">
        <v>393</v>
      </c>
    </row>
    <row r="533" spans="1:9" x14ac:dyDescent="0.3">
      <c r="A533" s="18">
        <v>70</v>
      </c>
      <c r="B533" s="40">
        <v>45450</v>
      </c>
      <c r="C533" s="18" t="s">
        <v>367</v>
      </c>
      <c r="D533" s="18">
        <v>12</v>
      </c>
      <c r="E533" s="17">
        <v>34</v>
      </c>
      <c r="F533" s="17">
        <v>292</v>
      </c>
      <c r="G533" s="17">
        <v>338</v>
      </c>
      <c r="H533" s="23">
        <f t="shared" si="8"/>
        <v>0.86390532544378695</v>
      </c>
      <c r="I533" s="17" t="s">
        <v>310</v>
      </c>
    </row>
    <row r="534" spans="1:9" x14ac:dyDescent="0.3">
      <c r="A534" s="18">
        <v>70</v>
      </c>
      <c r="B534" s="40">
        <v>45450</v>
      </c>
      <c r="C534" s="18" t="s">
        <v>289</v>
      </c>
      <c r="D534" s="18">
        <v>13</v>
      </c>
      <c r="E534" s="17">
        <v>33</v>
      </c>
      <c r="F534" s="17">
        <v>382</v>
      </c>
      <c r="G534" s="17">
        <v>506</v>
      </c>
      <c r="H534" s="23">
        <f t="shared" si="8"/>
        <v>0.75494071146245056</v>
      </c>
      <c r="I534" s="17" t="s">
        <v>243</v>
      </c>
    </row>
    <row r="535" spans="1:9" x14ac:dyDescent="0.3">
      <c r="A535" s="18">
        <v>70</v>
      </c>
      <c r="B535" s="40">
        <v>45450</v>
      </c>
      <c r="C535" s="18" t="s">
        <v>131</v>
      </c>
      <c r="D535" s="18">
        <v>14</v>
      </c>
      <c r="E535" s="17">
        <v>29</v>
      </c>
      <c r="F535" s="17">
        <v>559</v>
      </c>
      <c r="G535" s="17">
        <v>577</v>
      </c>
      <c r="H535" s="23">
        <f t="shared" si="8"/>
        <v>0.96880415944540732</v>
      </c>
      <c r="I535" s="17" t="s">
        <v>323</v>
      </c>
    </row>
    <row r="536" spans="1:9" x14ac:dyDescent="0.3">
      <c r="A536" s="18">
        <v>70</v>
      </c>
      <c r="B536" s="40">
        <v>45450</v>
      </c>
      <c r="C536" s="18" t="s">
        <v>329</v>
      </c>
      <c r="D536" s="18">
        <v>15</v>
      </c>
      <c r="E536" s="17">
        <v>16</v>
      </c>
      <c r="F536" s="17">
        <v>412</v>
      </c>
      <c r="G536" s="17">
        <v>476</v>
      </c>
      <c r="H536" s="23">
        <f t="shared" si="8"/>
        <v>0.86554621848739499</v>
      </c>
      <c r="I536" s="17" t="s">
        <v>289</v>
      </c>
    </row>
    <row r="537" spans="1:9" x14ac:dyDescent="0.3">
      <c r="A537" s="18">
        <v>70</v>
      </c>
      <c r="B537" s="40">
        <v>45450</v>
      </c>
      <c r="C537" s="18" t="s">
        <v>347</v>
      </c>
      <c r="D537" s="18">
        <v>16</v>
      </c>
      <c r="E537" s="17">
        <v>15</v>
      </c>
      <c r="F537" s="17">
        <v>191</v>
      </c>
      <c r="G537" s="17">
        <v>313</v>
      </c>
      <c r="H537" s="23">
        <f t="shared" si="8"/>
        <v>0.61022364217252401</v>
      </c>
      <c r="I537" s="17" t="s">
        <v>264</v>
      </c>
    </row>
    <row r="538" spans="1:9" x14ac:dyDescent="0.3">
      <c r="A538" s="18">
        <v>70</v>
      </c>
      <c r="B538" s="40">
        <v>45450</v>
      </c>
      <c r="C538" s="18" t="s">
        <v>394</v>
      </c>
      <c r="D538" s="18">
        <v>17</v>
      </c>
      <c r="E538" s="17">
        <v>14</v>
      </c>
      <c r="F538" s="17">
        <v>219</v>
      </c>
      <c r="G538" s="17">
        <v>410</v>
      </c>
      <c r="H538" s="23">
        <f t="shared" si="8"/>
        <v>0.53414634146341466</v>
      </c>
      <c r="I538" s="17" t="s">
        <v>393</v>
      </c>
    </row>
    <row r="539" spans="1:9" x14ac:dyDescent="0.3">
      <c r="A539" s="18">
        <v>70</v>
      </c>
      <c r="B539" s="40">
        <v>45450</v>
      </c>
      <c r="C539" s="18" t="s">
        <v>260</v>
      </c>
      <c r="D539" s="18">
        <v>18</v>
      </c>
      <c r="E539" s="17">
        <v>14</v>
      </c>
      <c r="F539" s="17">
        <v>77</v>
      </c>
      <c r="G539" s="17">
        <v>185</v>
      </c>
      <c r="H539" s="23">
        <f t="shared" si="8"/>
        <v>0.41621621621621624</v>
      </c>
      <c r="I539" s="17" t="s">
        <v>395</v>
      </c>
    </row>
    <row r="540" spans="1:9" x14ac:dyDescent="0.3">
      <c r="A540" s="18">
        <v>70</v>
      </c>
      <c r="B540" s="40">
        <v>45450</v>
      </c>
      <c r="C540" s="18" t="s">
        <v>237</v>
      </c>
      <c r="D540" s="18">
        <v>19</v>
      </c>
      <c r="E540" s="17">
        <v>11</v>
      </c>
      <c r="F540" s="17">
        <v>68</v>
      </c>
      <c r="G540" s="17">
        <v>105</v>
      </c>
      <c r="H540" s="23">
        <f t="shared" si="8"/>
        <v>0.64761904761904765</v>
      </c>
      <c r="I540" s="17" t="s">
        <v>259</v>
      </c>
    </row>
    <row r="541" spans="1:9" x14ac:dyDescent="0.3">
      <c r="A541" s="18">
        <v>70</v>
      </c>
      <c r="B541" s="40">
        <v>45450</v>
      </c>
      <c r="C541" s="18" t="s">
        <v>396</v>
      </c>
      <c r="D541" s="18">
        <v>20</v>
      </c>
      <c r="E541" s="17">
        <v>10</v>
      </c>
      <c r="F541" s="17">
        <v>38</v>
      </c>
      <c r="G541" s="17">
        <v>44</v>
      </c>
      <c r="H541" s="23">
        <f t="shared" si="8"/>
        <v>0.86363636363636365</v>
      </c>
      <c r="I541" s="17" t="s">
        <v>301</v>
      </c>
    </row>
    <row r="542" spans="1:9" x14ac:dyDescent="0.3">
      <c r="A542" s="18">
        <v>70</v>
      </c>
      <c r="B542" s="40">
        <v>45450</v>
      </c>
      <c r="C542" s="18" t="s">
        <v>342</v>
      </c>
      <c r="D542" s="18">
        <v>21</v>
      </c>
      <c r="E542" s="17">
        <v>7</v>
      </c>
      <c r="F542" s="17">
        <v>37</v>
      </c>
      <c r="G542" s="17">
        <v>66</v>
      </c>
      <c r="H542" s="23">
        <f t="shared" si="8"/>
        <v>0.56060606060606055</v>
      </c>
      <c r="I542" s="17" t="s">
        <v>131</v>
      </c>
    </row>
    <row r="543" spans="1:9" x14ac:dyDescent="0.3">
      <c r="A543" s="18">
        <v>70</v>
      </c>
      <c r="B543" s="40">
        <v>45450</v>
      </c>
      <c r="C543" s="18" t="s">
        <v>397</v>
      </c>
      <c r="D543" s="18">
        <v>22</v>
      </c>
      <c r="E543" s="17">
        <v>6</v>
      </c>
      <c r="F543" s="17">
        <v>10</v>
      </c>
      <c r="G543" s="17">
        <v>30</v>
      </c>
      <c r="H543" s="23">
        <f t="shared" si="8"/>
        <v>0.33333333333333331</v>
      </c>
      <c r="I543" s="17" t="s">
        <v>243</v>
      </c>
    </row>
    <row r="544" spans="1:9" x14ac:dyDescent="0.3">
      <c r="A544" s="18">
        <v>70</v>
      </c>
      <c r="B544" s="40">
        <v>45450</v>
      </c>
      <c r="C544" s="18" t="s">
        <v>398</v>
      </c>
      <c r="D544" s="18">
        <v>23</v>
      </c>
      <c r="E544" s="17">
        <v>5</v>
      </c>
      <c r="F544" s="17">
        <v>4</v>
      </c>
      <c r="G544" s="17">
        <v>14</v>
      </c>
      <c r="H544" s="23">
        <f t="shared" si="8"/>
        <v>0.2857142857142857</v>
      </c>
      <c r="I544" s="17" t="s">
        <v>264</v>
      </c>
    </row>
    <row r="545" spans="1:9" x14ac:dyDescent="0.3">
      <c r="A545" s="18">
        <v>71</v>
      </c>
      <c r="B545" s="40">
        <v>45457</v>
      </c>
      <c r="C545" s="18" t="s">
        <v>142</v>
      </c>
      <c r="D545" s="18">
        <v>1</v>
      </c>
      <c r="E545" s="17">
        <v>116</v>
      </c>
      <c r="F545" s="17">
        <v>9151</v>
      </c>
      <c r="G545" s="17">
        <v>5902</v>
      </c>
      <c r="H545" s="23">
        <f t="shared" si="8"/>
        <v>1.5504913588614029</v>
      </c>
      <c r="I545" s="17" t="s">
        <v>330</v>
      </c>
    </row>
    <row r="546" spans="1:9" x14ac:dyDescent="0.3">
      <c r="A546" s="18">
        <v>71</v>
      </c>
      <c r="B546" s="40">
        <v>45457</v>
      </c>
      <c r="C546" s="18" t="s">
        <v>388</v>
      </c>
      <c r="D546" s="18">
        <v>2</v>
      </c>
      <c r="E546" s="17">
        <v>116</v>
      </c>
      <c r="F546" s="17">
        <v>7516</v>
      </c>
      <c r="G546" s="17">
        <v>7115</v>
      </c>
      <c r="H546" s="23">
        <f t="shared" si="8"/>
        <v>1.0563598032326071</v>
      </c>
      <c r="I546" s="17" t="s">
        <v>130</v>
      </c>
    </row>
    <row r="547" spans="1:9" x14ac:dyDescent="0.3">
      <c r="A547" s="18">
        <v>71</v>
      </c>
      <c r="B547" s="40">
        <v>45457</v>
      </c>
      <c r="C547" s="18" t="s">
        <v>130</v>
      </c>
      <c r="D547" s="18">
        <v>3</v>
      </c>
      <c r="E547" s="17">
        <v>116</v>
      </c>
      <c r="F547" s="17">
        <v>10222</v>
      </c>
      <c r="G547" s="17">
        <v>10298</v>
      </c>
      <c r="H547" s="23">
        <f t="shared" si="8"/>
        <v>0.99261992619926198</v>
      </c>
      <c r="I547" s="17" t="s">
        <v>388</v>
      </c>
    </row>
    <row r="548" spans="1:9" x14ac:dyDescent="0.3">
      <c r="A548" s="18">
        <v>71</v>
      </c>
      <c r="B548" s="40">
        <v>45457</v>
      </c>
      <c r="C548" s="18" t="s">
        <v>330</v>
      </c>
      <c r="D548" s="18">
        <v>4</v>
      </c>
      <c r="E548" s="17">
        <v>103</v>
      </c>
      <c r="F548" s="17">
        <v>3768</v>
      </c>
      <c r="G548" s="17">
        <v>3831</v>
      </c>
      <c r="H548" s="23">
        <f t="shared" si="8"/>
        <v>0.98355520751761938</v>
      </c>
      <c r="I548" s="17" t="s">
        <v>142</v>
      </c>
    </row>
    <row r="549" spans="1:9" x14ac:dyDescent="0.3">
      <c r="A549" s="18">
        <v>71</v>
      </c>
      <c r="B549" s="40">
        <v>45457</v>
      </c>
      <c r="C549" s="18" t="s">
        <v>206</v>
      </c>
      <c r="D549" s="18">
        <v>5</v>
      </c>
      <c r="E549" s="17">
        <v>59</v>
      </c>
      <c r="F549" s="17">
        <v>582</v>
      </c>
      <c r="G549" s="17">
        <v>1447</v>
      </c>
      <c r="H549" s="23">
        <f t="shared" si="8"/>
        <v>0.40221147201105734</v>
      </c>
      <c r="I549" s="17" t="s">
        <v>197</v>
      </c>
    </row>
    <row r="550" spans="1:9" x14ac:dyDescent="0.3">
      <c r="A550" s="18">
        <v>71</v>
      </c>
      <c r="B550" s="40">
        <v>45457</v>
      </c>
      <c r="C550" s="18" t="s">
        <v>105</v>
      </c>
      <c r="D550" s="18">
        <v>6</v>
      </c>
      <c r="E550" s="17">
        <v>57</v>
      </c>
      <c r="F550" s="17">
        <v>2132</v>
      </c>
      <c r="G550" s="17">
        <v>3175</v>
      </c>
      <c r="H550" s="23">
        <f t="shared" si="8"/>
        <v>0.67149606299212594</v>
      </c>
      <c r="I550" s="17" t="s">
        <v>142</v>
      </c>
    </row>
    <row r="551" spans="1:9" x14ac:dyDescent="0.3">
      <c r="A551" s="18">
        <v>71</v>
      </c>
      <c r="B551" s="40">
        <v>45457</v>
      </c>
      <c r="C551" s="18" t="s">
        <v>197</v>
      </c>
      <c r="D551" s="18">
        <v>7</v>
      </c>
      <c r="E551" s="17">
        <v>56</v>
      </c>
      <c r="F551" s="17">
        <v>450</v>
      </c>
      <c r="G551" s="17">
        <v>653</v>
      </c>
      <c r="H551" s="23">
        <f t="shared" si="8"/>
        <v>0.6891271056661562</v>
      </c>
      <c r="I551" s="17" t="s">
        <v>206</v>
      </c>
    </row>
    <row r="552" spans="1:9" x14ac:dyDescent="0.3">
      <c r="A552" s="18">
        <v>71</v>
      </c>
      <c r="B552" s="40">
        <v>45457</v>
      </c>
      <c r="C552" s="18" t="s">
        <v>399</v>
      </c>
      <c r="D552" s="18">
        <v>8</v>
      </c>
      <c r="E552" s="17">
        <v>47</v>
      </c>
      <c r="F552" s="17">
        <v>1325</v>
      </c>
      <c r="G552" s="17">
        <v>1530</v>
      </c>
      <c r="H552" s="23">
        <f t="shared" si="8"/>
        <v>0.86601307189542487</v>
      </c>
      <c r="I552" s="17" t="s">
        <v>130</v>
      </c>
    </row>
    <row r="553" spans="1:9" x14ac:dyDescent="0.3">
      <c r="A553" s="18">
        <v>71</v>
      </c>
      <c r="B553" s="40">
        <v>45457</v>
      </c>
      <c r="C553" s="18" t="s">
        <v>400</v>
      </c>
      <c r="D553" s="18">
        <v>9</v>
      </c>
      <c r="E553" s="17">
        <v>23</v>
      </c>
      <c r="F553" s="17">
        <v>135</v>
      </c>
      <c r="G553" s="17">
        <v>285</v>
      </c>
      <c r="H553" s="23">
        <f t="shared" si="8"/>
        <v>0.47368421052631576</v>
      </c>
      <c r="I553" s="17" t="s">
        <v>105</v>
      </c>
    </row>
    <row r="554" spans="1:9" x14ac:dyDescent="0.3">
      <c r="A554" s="18">
        <v>71</v>
      </c>
      <c r="B554" s="40">
        <v>45457</v>
      </c>
      <c r="C554" s="18" t="s">
        <v>271</v>
      </c>
      <c r="D554" s="18">
        <v>10</v>
      </c>
      <c r="E554" s="17">
        <v>23</v>
      </c>
      <c r="F554" s="17">
        <v>188</v>
      </c>
      <c r="G554" s="17">
        <v>358</v>
      </c>
      <c r="H554" s="23">
        <f t="shared" si="8"/>
        <v>0.52513966480446927</v>
      </c>
      <c r="I554" s="17" t="s">
        <v>105</v>
      </c>
    </row>
    <row r="555" spans="1:9" x14ac:dyDescent="0.3">
      <c r="A555" s="18">
        <v>71</v>
      </c>
      <c r="B555" s="40">
        <v>45457</v>
      </c>
      <c r="C555" s="18" t="s">
        <v>401</v>
      </c>
      <c r="D555" s="18">
        <v>11</v>
      </c>
      <c r="E555" s="17">
        <v>14</v>
      </c>
      <c r="F555" s="17">
        <v>27</v>
      </c>
      <c r="G555" s="17">
        <v>93</v>
      </c>
      <c r="H555" s="23">
        <f t="shared" si="8"/>
        <v>0.29032258064516131</v>
      </c>
      <c r="I555" s="17" t="s">
        <v>145</v>
      </c>
    </row>
    <row r="556" spans="1:9" x14ac:dyDescent="0.3">
      <c r="A556" s="18">
        <v>71</v>
      </c>
      <c r="B556" s="40">
        <v>45457</v>
      </c>
      <c r="C556" s="18" t="s">
        <v>402</v>
      </c>
      <c r="D556" s="18">
        <v>12</v>
      </c>
      <c r="E556" s="17">
        <v>14</v>
      </c>
      <c r="F556" s="17">
        <v>134</v>
      </c>
      <c r="G556" s="17">
        <v>251</v>
      </c>
      <c r="H556" s="23">
        <f t="shared" si="8"/>
        <v>0.53386454183266929</v>
      </c>
      <c r="I556" s="17" t="s">
        <v>142</v>
      </c>
    </row>
    <row r="557" spans="1:9" x14ac:dyDescent="0.3">
      <c r="A557" s="18">
        <v>71</v>
      </c>
      <c r="B557" s="40">
        <v>45457</v>
      </c>
      <c r="C557" s="18" t="s">
        <v>403</v>
      </c>
      <c r="D557" s="18">
        <v>13</v>
      </c>
      <c r="E557" s="17">
        <v>13</v>
      </c>
      <c r="F557" s="17">
        <v>166</v>
      </c>
      <c r="G557" s="17">
        <v>207</v>
      </c>
      <c r="H557" s="23">
        <f t="shared" si="8"/>
        <v>0.80193236714975846</v>
      </c>
      <c r="I557" s="17" t="s">
        <v>388</v>
      </c>
    </row>
    <row r="558" spans="1:9" x14ac:dyDescent="0.3">
      <c r="A558" s="18">
        <v>71</v>
      </c>
      <c r="B558" s="40">
        <v>45457</v>
      </c>
      <c r="C558" s="18" t="s">
        <v>259</v>
      </c>
      <c r="D558" s="18">
        <v>14</v>
      </c>
      <c r="E558" s="17">
        <v>12</v>
      </c>
      <c r="F558" s="17">
        <v>47</v>
      </c>
      <c r="G558" s="17">
        <v>71</v>
      </c>
      <c r="H558" s="23">
        <f t="shared" si="8"/>
        <v>0.6619718309859155</v>
      </c>
      <c r="I558" s="17" t="s">
        <v>388</v>
      </c>
    </row>
    <row r="559" spans="1:9" x14ac:dyDescent="0.3">
      <c r="A559" s="18">
        <v>71</v>
      </c>
      <c r="B559" s="40">
        <v>45457</v>
      </c>
      <c r="C559" s="18" t="s">
        <v>404</v>
      </c>
      <c r="D559" s="18">
        <v>15</v>
      </c>
      <c r="E559" s="17">
        <v>11</v>
      </c>
      <c r="F559" s="17">
        <v>66</v>
      </c>
      <c r="G559" s="17">
        <v>41</v>
      </c>
      <c r="H559" s="23">
        <f t="shared" si="8"/>
        <v>1.6097560975609757</v>
      </c>
      <c r="I559" s="17" t="s">
        <v>142</v>
      </c>
    </row>
    <row r="560" spans="1:9" x14ac:dyDescent="0.3">
      <c r="A560" s="18">
        <v>71</v>
      </c>
      <c r="B560" s="40">
        <v>45457</v>
      </c>
      <c r="C560" s="18" t="s">
        <v>405</v>
      </c>
      <c r="D560" s="18">
        <v>16</v>
      </c>
      <c r="E560" s="17">
        <v>11</v>
      </c>
      <c r="F560" s="17">
        <v>93</v>
      </c>
      <c r="G560" s="17">
        <v>147</v>
      </c>
      <c r="H560" s="23">
        <f t="shared" si="8"/>
        <v>0.63265306122448983</v>
      </c>
      <c r="I560" s="17" t="s">
        <v>330</v>
      </c>
    </row>
    <row r="561" spans="1:9" x14ac:dyDescent="0.3">
      <c r="A561" s="18">
        <v>71</v>
      </c>
      <c r="B561" s="40">
        <v>45457</v>
      </c>
      <c r="C561" s="18" t="s">
        <v>282</v>
      </c>
      <c r="D561" s="18">
        <v>17</v>
      </c>
      <c r="E561" s="17">
        <v>10</v>
      </c>
      <c r="F561" s="17">
        <v>44</v>
      </c>
      <c r="G561" s="17">
        <v>86</v>
      </c>
      <c r="H561" s="23">
        <f t="shared" si="8"/>
        <v>0.51162790697674421</v>
      </c>
      <c r="I561" s="17" t="s">
        <v>157</v>
      </c>
    </row>
    <row r="562" spans="1:9" x14ac:dyDescent="0.3">
      <c r="A562" s="18">
        <v>71</v>
      </c>
      <c r="B562" s="40">
        <v>45457</v>
      </c>
      <c r="C562" s="18" t="s">
        <v>342</v>
      </c>
      <c r="D562" s="18">
        <v>18</v>
      </c>
      <c r="E562" s="17">
        <v>10</v>
      </c>
      <c r="F562" s="17">
        <v>34</v>
      </c>
      <c r="G562" s="17">
        <v>70</v>
      </c>
      <c r="H562" s="23">
        <f t="shared" si="8"/>
        <v>0.48571428571428571</v>
      </c>
      <c r="I562" s="17" t="s">
        <v>130</v>
      </c>
    </row>
    <row r="563" spans="1:9" x14ac:dyDescent="0.3">
      <c r="A563" s="18">
        <v>71</v>
      </c>
      <c r="B563" s="40">
        <v>45457</v>
      </c>
      <c r="C563" s="18" t="s">
        <v>235</v>
      </c>
      <c r="D563" s="18">
        <v>19</v>
      </c>
      <c r="E563" s="17">
        <v>8</v>
      </c>
      <c r="F563" s="17">
        <v>30</v>
      </c>
      <c r="G563" s="17">
        <v>63</v>
      </c>
      <c r="H563" s="23">
        <f t="shared" si="8"/>
        <v>0.47619047619047616</v>
      </c>
      <c r="I563" s="17" t="s">
        <v>406</v>
      </c>
    </row>
    <row r="564" spans="1:9" x14ac:dyDescent="0.3">
      <c r="A564" s="18">
        <v>71</v>
      </c>
      <c r="B564" s="40">
        <v>45457</v>
      </c>
      <c r="C564" s="18" t="s">
        <v>368</v>
      </c>
      <c r="D564" s="18">
        <v>20</v>
      </c>
      <c r="E564" s="17">
        <v>7</v>
      </c>
      <c r="F564" s="17">
        <v>38</v>
      </c>
      <c r="G564" s="17">
        <v>38</v>
      </c>
      <c r="H564" s="23">
        <f t="shared" si="8"/>
        <v>1</v>
      </c>
      <c r="I564" s="17" t="s">
        <v>130</v>
      </c>
    </row>
    <row r="565" spans="1:9" x14ac:dyDescent="0.3">
      <c r="A565" s="18">
        <v>71</v>
      </c>
      <c r="B565" s="40">
        <v>45457</v>
      </c>
      <c r="C565" s="18" t="s">
        <v>407</v>
      </c>
      <c r="D565" s="18">
        <v>21</v>
      </c>
      <c r="E565" s="17">
        <v>4</v>
      </c>
      <c r="F565" s="17">
        <v>28</v>
      </c>
      <c r="G565" s="17">
        <v>41</v>
      </c>
      <c r="H565" s="23">
        <f t="shared" si="8"/>
        <v>0.68292682926829273</v>
      </c>
      <c r="I565" s="17" t="s">
        <v>282</v>
      </c>
    </row>
    <row r="566" spans="1:9" x14ac:dyDescent="0.3">
      <c r="A566" s="18">
        <v>71</v>
      </c>
      <c r="B566" s="40">
        <v>45457</v>
      </c>
      <c r="C566" s="18" t="s">
        <v>408</v>
      </c>
      <c r="D566" s="18">
        <v>22</v>
      </c>
      <c r="E566" s="17">
        <v>4</v>
      </c>
      <c r="F566" s="17">
        <v>23</v>
      </c>
      <c r="G566" s="17">
        <v>45</v>
      </c>
      <c r="H566" s="23">
        <f t="shared" si="8"/>
        <v>0.51111111111111107</v>
      </c>
      <c r="I566" s="17" t="s">
        <v>399</v>
      </c>
    </row>
    <row r="567" spans="1:9" x14ac:dyDescent="0.3">
      <c r="A567" s="18">
        <v>71</v>
      </c>
      <c r="B567" s="40">
        <v>45457</v>
      </c>
      <c r="C567" s="18" t="s">
        <v>409</v>
      </c>
      <c r="D567" s="18">
        <v>23</v>
      </c>
      <c r="E567" s="17">
        <v>2</v>
      </c>
      <c r="F567" s="17">
        <v>2</v>
      </c>
      <c r="G567" s="17">
        <v>4</v>
      </c>
      <c r="H567" s="23">
        <f t="shared" si="8"/>
        <v>0.5</v>
      </c>
      <c r="I567" s="17" t="s">
        <v>410</v>
      </c>
    </row>
    <row r="568" spans="1:9" x14ac:dyDescent="0.3">
      <c r="A568" s="18">
        <v>72</v>
      </c>
      <c r="B568" s="40">
        <v>45464</v>
      </c>
      <c r="C568" s="18" t="s">
        <v>282</v>
      </c>
      <c r="D568" s="18">
        <v>1</v>
      </c>
      <c r="E568" s="17">
        <v>199</v>
      </c>
      <c r="F568" s="17">
        <v>17498</v>
      </c>
      <c r="G568" s="17">
        <v>17399</v>
      </c>
      <c r="H568" s="23">
        <f t="shared" si="8"/>
        <v>1.005689982182884</v>
      </c>
      <c r="I568" s="17" t="s">
        <v>411</v>
      </c>
    </row>
    <row r="569" spans="1:9" x14ac:dyDescent="0.3">
      <c r="A569" s="18">
        <v>72</v>
      </c>
      <c r="B569" s="40">
        <v>45464</v>
      </c>
      <c r="C569" s="18" t="s">
        <v>412</v>
      </c>
      <c r="D569" s="18">
        <v>2</v>
      </c>
      <c r="E569" s="17">
        <v>199</v>
      </c>
      <c r="F569" s="17">
        <v>24613</v>
      </c>
      <c r="G569" s="17">
        <v>20966</v>
      </c>
      <c r="H569" s="23">
        <f t="shared" si="8"/>
        <v>1.1739482972431556</v>
      </c>
      <c r="I569" s="17" t="s">
        <v>276</v>
      </c>
    </row>
    <row r="570" spans="1:9" x14ac:dyDescent="0.3">
      <c r="A570" s="18">
        <v>72</v>
      </c>
      <c r="B570" s="40">
        <v>45464</v>
      </c>
      <c r="C570" s="18" t="s">
        <v>276</v>
      </c>
      <c r="D570" s="18">
        <v>3</v>
      </c>
      <c r="E570" s="17">
        <v>199</v>
      </c>
      <c r="F570" s="17">
        <v>16555</v>
      </c>
      <c r="G570" s="17">
        <v>14375</v>
      </c>
      <c r="H570" s="23">
        <f t="shared" si="8"/>
        <v>1.1516521739130434</v>
      </c>
      <c r="I570" s="17" t="s">
        <v>412</v>
      </c>
    </row>
    <row r="571" spans="1:9" x14ac:dyDescent="0.3">
      <c r="A571" s="18">
        <v>72</v>
      </c>
      <c r="B571" s="40">
        <v>45464</v>
      </c>
      <c r="C571" s="18" t="s">
        <v>411</v>
      </c>
      <c r="D571" s="18">
        <v>4</v>
      </c>
      <c r="E571" s="17">
        <v>183</v>
      </c>
      <c r="F571" s="17">
        <v>8279</v>
      </c>
      <c r="G571" s="17">
        <v>8918</v>
      </c>
      <c r="H571" s="23">
        <f t="shared" si="8"/>
        <v>0.92834716304104059</v>
      </c>
      <c r="I571" s="17" t="s">
        <v>282</v>
      </c>
    </row>
    <row r="572" spans="1:9" x14ac:dyDescent="0.3">
      <c r="A572" s="18">
        <v>72</v>
      </c>
      <c r="B572" s="40">
        <v>45464</v>
      </c>
      <c r="C572" s="18" t="s">
        <v>164</v>
      </c>
      <c r="D572" s="18">
        <v>5</v>
      </c>
      <c r="E572" s="17">
        <v>145</v>
      </c>
      <c r="F572" s="17">
        <v>2448</v>
      </c>
      <c r="G572" s="17">
        <v>2522</v>
      </c>
      <c r="H572" s="23">
        <f t="shared" si="8"/>
        <v>0.97065820777160983</v>
      </c>
      <c r="I572" s="17" t="s">
        <v>412</v>
      </c>
    </row>
    <row r="573" spans="1:9" x14ac:dyDescent="0.3">
      <c r="A573" s="18">
        <v>72</v>
      </c>
      <c r="B573" s="40">
        <v>45464</v>
      </c>
      <c r="C573" s="18" t="s">
        <v>347</v>
      </c>
      <c r="D573" s="18">
        <v>6</v>
      </c>
      <c r="E573" s="17">
        <v>131</v>
      </c>
      <c r="F573" s="17">
        <v>7192</v>
      </c>
      <c r="G573" s="17">
        <v>8614</v>
      </c>
      <c r="H573" s="23">
        <f t="shared" si="8"/>
        <v>0.8349198978407244</v>
      </c>
      <c r="I573" s="17" t="s">
        <v>412</v>
      </c>
    </row>
    <row r="574" spans="1:9" x14ac:dyDescent="0.3">
      <c r="A574" s="18">
        <v>72</v>
      </c>
      <c r="B574" s="40">
        <v>45464</v>
      </c>
      <c r="C574" s="18" t="s">
        <v>235</v>
      </c>
      <c r="D574" s="18">
        <v>7</v>
      </c>
      <c r="E574" s="17">
        <v>118</v>
      </c>
      <c r="F574" s="17">
        <v>1186</v>
      </c>
      <c r="G574" s="17">
        <v>1617</v>
      </c>
      <c r="H574" s="23">
        <f t="shared" si="8"/>
        <v>0.7334570191713049</v>
      </c>
      <c r="I574" s="17" t="s">
        <v>164</v>
      </c>
    </row>
    <row r="575" spans="1:9" x14ac:dyDescent="0.3">
      <c r="A575" s="18">
        <v>72</v>
      </c>
      <c r="B575" s="40">
        <v>45464</v>
      </c>
      <c r="C575" s="18" t="s">
        <v>375</v>
      </c>
      <c r="D575" s="18">
        <v>8</v>
      </c>
      <c r="E575" s="17">
        <v>114</v>
      </c>
      <c r="F575" s="17">
        <v>6099</v>
      </c>
      <c r="G575" s="17">
        <v>7136</v>
      </c>
      <c r="H575" s="23">
        <f t="shared" si="8"/>
        <v>0.85468049327354256</v>
      </c>
      <c r="I575" s="17" t="s">
        <v>276</v>
      </c>
    </row>
    <row r="576" spans="1:9" x14ac:dyDescent="0.3">
      <c r="A576" s="18">
        <v>72</v>
      </c>
      <c r="B576" s="40">
        <v>45464</v>
      </c>
      <c r="C576" s="18" t="s">
        <v>413</v>
      </c>
      <c r="D576" s="18">
        <v>9</v>
      </c>
      <c r="E576" s="17">
        <v>65</v>
      </c>
      <c r="F576" s="17">
        <v>639</v>
      </c>
      <c r="G576" s="17">
        <v>1104</v>
      </c>
      <c r="H576" s="23">
        <f t="shared" si="8"/>
        <v>0.57880434782608692</v>
      </c>
      <c r="I576" s="17" t="s">
        <v>282</v>
      </c>
    </row>
    <row r="577" spans="1:9" x14ac:dyDescent="0.3">
      <c r="A577" s="18">
        <v>72</v>
      </c>
      <c r="B577" s="40">
        <v>45464</v>
      </c>
      <c r="C577" s="18" t="s">
        <v>414</v>
      </c>
      <c r="D577" s="18">
        <v>10</v>
      </c>
      <c r="E577" s="17">
        <v>65</v>
      </c>
      <c r="F577" s="17">
        <v>2233</v>
      </c>
      <c r="G577" s="17">
        <v>2646</v>
      </c>
      <c r="H577" s="23">
        <f t="shared" si="8"/>
        <v>0.84391534391534395</v>
      </c>
      <c r="I577" s="17" t="s">
        <v>282</v>
      </c>
    </row>
    <row r="578" spans="1:9" x14ac:dyDescent="0.3">
      <c r="A578" s="18">
        <v>72</v>
      </c>
      <c r="B578" s="40">
        <v>45464</v>
      </c>
      <c r="C578" s="18" t="s">
        <v>406</v>
      </c>
      <c r="D578" s="18">
        <v>11</v>
      </c>
      <c r="E578" s="17">
        <v>30</v>
      </c>
      <c r="F578" s="17">
        <v>594</v>
      </c>
      <c r="G578" s="17">
        <v>948</v>
      </c>
      <c r="H578" s="23">
        <f t="shared" ref="H578:H641" si="9">F578/G578</f>
        <v>0.62658227848101267</v>
      </c>
      <c r="I578" s="17" t="s">
        <v>412</v>
      </c>
    </row>
    <row r="579" spans="1:9" x14ac:dyDescent="0.3">
      <c r="A579" s="18">
        <v>72</v>
      </c>
      <c r="B579" s="40">
        <v>45464</v>
      </c>
      <c r="C579" s="18" t="s">
        <v>145</v>
      </c>
      <c r="D579" s="18">
        <v>12</v>
      </c>
      <c r="E579" s="17">
        <v>25</v>
      </c>
      <c r="F579" s="17">
        <v>343</v>
      </c>
      <c r="G579" s="17">
        <v>726</v>
      </c>
      <c r="H579" s="23">
        <f t="shared" si="9"/>
        <v>0.47245179063360881</v>
      </c>
      <c r="I579" s="17" t="s">
        <v>415</v>
      </c>
    </row>
    <row r="580" spans="1:9" x14ac:dyDescent="0.3">
      <c r="A580" s="18">
        <v>72</v>
      </c>
      <c r="B580" s="40">
        <v>45464</v>
      </c>
      <c r="C580" s="18" t="s">
        <v>161</v>
      </c>
      <c r="D580" s="18">
        <v>13</v>
      </c>
      <c r="E580" s="17">
        <v>17</v>
      </c>
      <c r="F580" s="17">
        <v>290</v>
      </c>
      <c r="G580" s="17">
        <v>276</v>
      </c>
      <c r="H580" s="23">
        <f t="shared" si="9"/>
        <v>1.0507246376811594</v>
      </c>
      <c r="I580" s="17" t="s">
        <v>406</v>
      </c>
    </row>
    <row r="581" spans="1:9" x14ac:dyDescent="0.3">
      <c r="A581" s="18">
        <v>72</v>
      </c>
      <c r="B581" s="40">
        <v>45464</v>
      </c>
      <c r="C581" s="18" t="s">
        <v>142</v>
      </c>
      <c r="D581" s="18">
        <v>14</v>
      </c>
      <c r="E581" s="17">
        <v>14</v>
      </c>
      <c r="F581" s="17">
        <v>152</v>
      </c>
      <c r="G581" s="17">
        <v>215</v>
      </c>
      <c r="H581" s="23">
        <f t="shared" si="9"/>
        <v>0.7069767441860465</v>
      </c>
      <c r="I581" s="17" t="s">
        <v>406</v>
      </c>
    </row>
    <row r="582" spans="1:9" x14ac:dyDescent="0.3">
      <c r="A582" s="18">
        <v>72</v>
      </c>
      <c r="B582" s="40">
        <v>45464</v>
      </c>
      <c r="C582" s="18" t="s">
        <v>416</v>
      </c>
      <c r="D582" s="18">
        <v>15</v>
      </c>
      <c r="E582" s="17">
        <v>14</v>
      </c>
      <c r="F582" s="17">
        <v>41</v>
      </c>
      <c r="G582" s="17">
        <v>70</v>
      </c>
      <c r="H582" s="23">
        <f t="shared" si="9"/>
        <v>0.58571428571428574</v>
      </c>
      <c r="I582" s="17" t="s">
        <v>415</v>
      </c>
    </row>
    <row r="583" spans="1:9" x14ac:dyDescent="0.3">
      <c r="A583" s="18">
        <v>72</v>
      </c>
      <c r="B583" s="40">
        <v>45464</v>
      </c>
      <c r="C583" s="18" t="s">
        <v>417</v>
      </c>
      <c r="D583" s="18">
        <v>16</v>
      </c>
      <c r="E583" s="17">
        <v>13</v>
      </c>
      <c r="F583" s="17">
        <v>40</v>
      </c>
      <c r="G583" s="17">
        <v>118</v>
      </c>
      <c r="H583" s="23">
        <f t="shared" si="9"/>
        <v>0.33898305084745761</v>
      </c>
      <c r="I583" s="17" t="s">
        <v>347</v>
      </c>
    </row>
    <row r="584" spans="1:9" x14ac:dyDescent="0.3">
      <c r="A584" s="18">
        <v>72</v>
      </c>
      <c r="B584" s="40">
        <v>45464</v>
      </c>
      <c r="C584" s="18" t="s">
        <v>199</v>
      </c>
      <c r="D584" s="18">
        <v>17</v>
      </c>
      <c r="E584" s="17">
        <v>12</v>
      </c>
      <c r="F584" s="17">
        <v>79</v>
      </c>
      <c r="G584" s="17">
        <v>129</v>
      </c>
      <c r="H584" s="23">
        <f t="shared" si="9"/>
        <v>0.61240310077519378</v>
      </c>
      <c r="I584" s="17" t="s">
        <v>347</v>
      </c>
    </row>
    <row r="585" spans="1:9" x14ac:dyDescent="0.3">
      <c r="A585" s="18">
        <v>72</v>
      </c>
      <c r="B585" s="40">
        <v>45464</v>
      </c>
      <c r="C585" s="18" t="s">
        <v>109</v>
      </c>
      <c r="D585" s="18">
        <v>18</v>
      </c>
      <c r="E585" s="17">
        <v>10</v>
      </c>
      <c r="F585" s="17">
        <v>29</v>
      </c>
      <c r="G585" s="17">
        <v>78</v>
      </c>
      <c r="H585" s="23">
        <f t="shared" si="9"/>
        <v>0.37179487179487181</v>
      </c>
      <c r="I585" s="17" t="s">
        <v>389</v>
      </c>
    </row>
    <row r="586" spans="1:9" x14ac:dyDescent="0.3">
      <c r="A586" s="18">
        <v>72</v>
      </c>
      <c r="B586" s="40">
        <v>45464</v>
      </c>
      <c r="C586" s="18" t="s">
        <v>418</v>
      </c>
      <c r="D586" s="18">
        <v>19</v>
      </c>
      <c r="E586" s="17">
        <v>9</v>
      </c>
      <c r="F586" s="17">
        <v>32</v>
      </c>
      <c r="G586" s="17">
        <v>53</v>
      </c>
      <c r="H586" s="23">
        <f t="shared" si="9"/>
        <v>0.60377358490566035</v>
      </c>
      <c r="I586" s="17" t="s">
        <v>414</v>
      </c>
    </row>
    <row r="587" spans="1:9" x14ac:dyDescent="0.3">
      <c r="A587" s="18">
        <v>72</v>
      </c>
      <c r="B587" s="40">
        <v>45464</v>
      </c>
      <c r="C587" s="18" t="s">
        <v>419</v>
      </c>
      <c r="D587" s="18">
        <v>20</v>
      </c>
      <c r="E587" s="17">
        <v>8</v>
      </c>
      <c r="F587" s="17">
        <v>37</v>
      </c>
      <c r="G587" s="17">
        <v>67</v>
      </c>
      <c r="H587" s="23">
        <f t="shared" si="9"/>
        <v>0.55223880597014929</v>
      </c>
      <c r="I587" s="17" t="s">
        <v>161</v>
      </c>
    </row>
    <row r="588" spans="1:9" x14ac:dyDescent="0.3">
      <c r="A588" s="18">
        <v>72</v>
      </c>
      <c r="B588" s="40">
        <v>45464</v>
      </c>
      <c r="C588" s="18" t="s">
        <v>420</v>
      </c>
      <c r="D588" s="18">
        <v>21</v>
      </c>
      <c r="E588" s="17">
        <v>6</v>
      </c>
      <c r="F588" s="17">
        <v>47</v>
      </c>
      <c r="G588" s="17">
        <v>84</v>
      </c>
      <c r="H588" s="23">
        <f t="shared" si="9"/>
        <v>0.55952380952380953</v>
      </c>
      <c r="I588" s="17" t="s">
        <v>375</v>
      </c>
    </row>
    <row r="589" spans="1:9" x14ac:dyDescent="0.3">
      <c r="A589" s="18">
        <v>72</v>
      </c>
      <c r="B589" s="40">
        <v>45464</v>
      </c>
      <c r="C589" s="18" t="s">
        <v>421</v>
      </c>
      <c r="D589" s="18">
        <v>22</v>
      </c>
      <c r="E589" s="17">
        <v>5</v>
      </c>
      <c r="F589" s="17">
        <v>20</v>
      </c>
      <c r="G589" s="17">
        <v>46</v>
      </c>
      <c r="H589" s="23">
        <f t="shared" si="9"/>
        <v>0.43478260869565216</v>
      </c>
      <c r="I589" s="17" t="s">
        <v>411</v>
      </c>
    </row>
    <row r="590" spans="1:9" x14ac:dyDescent="0.3">
      <c r="A590" s="18">
        <v>73</v>
      </c>
      <c r="B590" s="40">
        <v>45471</v>
      </c>
      <c r="C590" s="39" t="s">
        <v>276</v>
      </c>
      <c r="D590" s="18">
        <v>1</v>
      </c>
      <c r="E590" s="17">
        <v>107</v>
      </c>
      <c r="F590" s="17">
        <v>3713</v>
      </c>
      <c r="G590" s="17">
        <v>2441</v>
      </c>
      <c r="H590" s="23">
        <f t="shared" si="9"/>
        <v>1.5210979106923392</v>
      </c>
      <c r="I590" s="17" t="s">
        <v>329</v>
      </c>
    </row>
    <row r="591" spans="1:9" x14ac:dyDescent="0.3">
      <c r="A591" s="18">
        <v>73</v>
      </c>
      <c r="B591" s="40">
        <v>45471</v>
      </c>
      <c r="C591" s="18" t="s">
        <v>329</v>
      </c>
      <c r="D591" s="18">
        <v>2</v>
      </c>
      <c r="E591" s="17">
        <v>107</v>
      </c>
      <c r="F591" s="17">
        <v>9608</v>
      </c>
      <c r="G591" s="17">
        <v>6831</v>
      </c>
      <c r="H591" s="23">
        <f t="shared" si="9"/>
        <v>1.4065290587029717</v>
      </c>
      <c r="I591" s="17" t="s">
        <v>109</v>
      </c>
    </row>
    <row r="592" spans="1:9" x14ac:dyDescent="0.3">
      <c r="A592" s="18">
        <v>73</v>
      </c>
      <c r="B592" s="40">
        <v>45471</v>
      </c>
      <c r="C592" s="18" t="s">
        <v>109</v>
      </c>
      <c r="D592" s="18">
        <v>3</v>
      </c>
      <c r="E592" s="17">
        <v>107</v>
      </c>
      <c r="F592" s="17">
        <v>9563</v>
      </c>
      <c r="G592" s="17">
        <v>9257</v>
      </c>
      <c r="H592" s="23">
        <f t="shared" si="9"/>
        <v>1.0330560656800258</v>
      </c>
      <c r="I592" s="17" t="s">
        <v>329</v>
      </c>
    </row>
    <row r="593" spans="1:9" x14ac:dyDescent="0.3">
      <c r="A593" s="18">
        <v>73</v>
      </c>
      <c r="B593" s="40">
        <v>45471</v>
      </c>
      <c r="C593" s="18" t="s">
        <v>422</v>
      </c>
      <c r="D593" s="18">
        <v>4</v>
      </c>
      <c r="E593" s="17">
        <v>101</v>
      </c>
      <c r="F593" s="17">
        <v>2356</v>
      </c>
      <c r="G593" s="17">
        <v>2863</v>
      </c>
      <c r="H593" s="23">
        <f t="shared" si="9"/>
        <v>0.82291302829200141</v>
      </c>
      <c r="I593" s="17" t="s">
        <v>276</v>
      </c>
    </row>
    <row r="594" spans="1:9" x14ac:dyDescent="0.3">
      <c r="A594" s="18">
        <v>73</v>
      </c>
      <c r="B594" s="40">
        <v>45471</v>
      </c>
      <c r="C594" s="18" t="s">
        <v>423</v>
      </c>
      <c r="D594" s="18">
        <v>5</v>
      </c>
      <c r="E594" s="17">
        <v>97</v>
      </c>
      <c r="F594" s="17">
        <v>6459</v>
      </c>
      <c r="G594" s="17">
        <v>7010</v>
      </c>
      <c r="H594" s="23">
        <f t="shared" si="9"/>
        <v>0.92139800285306706</v>
      </c>
      <c r="I594" s="17" t="s">
        <v>329</v>
      </c>
    </row>
    <row r="595" spans="1:9" x14ac:dyDescent="0.3">
      <c r="A595" s="18">
        <v>73</v>
      </c>
      <c r="B595" s="40">
        <v>45471</v>
      </c>
      <c r="C595" s="18" t="s">
        <v>172</v>
      </c>
      <c r="D595" s="18">
        <v>6</v>
      </c>
      <c r="E595" s="17">
        <v>70</v>
      </c>
      <c r="F595" s="17">
        <v>920</v>
      </c>
      <c r="G595" s="17">
        <v>1652</v>
      </c>
      <c r="H595" s="23">
        <f t="shared" si="9"/>
        <v>0.55690072639225185</v>
      </c>
      <c r="I595" s="17" t="s">
        <v>329</v>
      </c>
    </row>
    <row r="596" spans="1:9" x14ac:dyDescent="0.3">
      <c r="A596" s="18">
        <v>73</v>
      </c>
      <c r="B596" s="40">
        <v>45471</v>
      </c>
      <c r="C596" s="18" t="s">
        <v>424</v>
      </c>
      <c r="D596" s="18">
        <v>7</v>
      </c>
      <c r="E596" s="17">
        <v>68</v>
      </c>
      <c r="F596" s="17">
        <v>1334</v>
      </c>
      <c r="G596" s="17">
        <v>1502</v>
      </c>
      <c r="H596" s="23">
        <f t="shared" si="9"/>
        <v>0.88814913448735022</v>
      </c>
      <c r="I596" s="17" t="s">
        <v>329</v>
      </c>
    </row>
    <row r="597" spans="1:9" x14ac:dyDescent="0.3">
      <c r="A597" s="18">
        <v>73</v>
      </c>
      <c r="B597" s="40">
        <v>45471</v>
      </c>
      <c r="C597" s="18" t="s">
        <v>282</v>
      </c>
      <c r="D597" s="18">
        <v>8</v>
      </c>
      <c r="E597" s="17">
        <v>63</v>
      </c>
      <c r="F597" s="17">
        <v>686</v>
      </c>
      <c r="G597" s="17">
        <v>1075</v>
      </c>
      <c r="H597" s="23">
        <f t="shared" si="9"/>
        <v>0.63813953488372088</v>
      </c>
      <c r="I597" s="17" t="s">
        <v>172</v>
      </c>
    </row>
    <row r="598" spans="1:9" x14ac:dyDescent="0.3">
      <c r="A598" s="18">
        <v>73</v>
      </c>
      <c r="B598" s="40">
        <v>45471</v>
      </c>
      <c r="C598" s="18" t="s">
        <v>425</v>
      </c>
      <c r="D598" s="18">
        <v>9</v>
      </c>
      <c r="E598" s="17">
        <v>59</v>
      </c>
      <c r="F598" s="17">
        <v>516</v>
      </c>
      <c r="G598" s="17">
        <v>931</v>
      </c>
      <c r="H598" s="23">
        <f t="shared" si="9"/>
        <v>0.55424274973147158</v>
      </c>
      <c r="I598" s="17" t="s">
        <v>109</v>
      </c>
    </row>
    <row r="599" spans="1:9" x14ac:dyDescent="0.3">
      <c r="A599" s="18">
        <v>73</v>
      </c>
      <c r="B599" s="40">
        <v>45471</v>
      </c>
      <c r="C599" s="18" t="s">
        <v>130</v>
      </c>
      <c r="D599" s="18">
        <v>10</v>
      </c>
      <c r="E599" s="17">
        <v>49</v>
      </c>
      <c r="F599" s="17">
        <v>191</v>
      </c>
      <c r="G599" s="17">
        <v>372</v>
      </c>
      <c r="H599" s="23">
        <f t="shared" si="9"/>
        <v>0.51344086021505375</v>
      </c>
      <c r="I599" s="17" t="s">
        <v>109</v>
      </c>
    </row>
    <row r="600" spans="1:9" x14ac:dyDescent="0.3">
      <c r="A600" s="18">
        <v>73</v>
      </c>
      <c r="B600" s="40">
        <v>45471</v>
      </c>
      <c r="C600" s="18" t="s">
        <v>199</v>
      </c>
      <c r="D600" s="18">
        <v>11</v>
      </c>
      <c r="E600" s="17">
        <v>45</v>
      </c>
      <c r="F600" s="17">
        <v>865</v>
      </c>
      <c r="G600" s="17">
        <v>1117</v>
      </c>
      <c r="H600" s="23">
        <f t="shared" si="9"/>
        <v>0.77439570277529091</v>
      </c>
      <c r="I600" s="17" t="s">
        <v>423</v>
      </c>
    </row>
    <row r="601" spans="1:9" x14ac:dyDescent="0.3">
      <c r="A601" s="18">
        <v>73</v>
      </c>
      <c r="B601" s="40">
        <v>45471</v>
      </c>
      <c r="C601" s="18" t="s">
        <v>131</v>
      </c>
      <c r="D601" s="18">
        <v>12</v>
      </c>
      <c r="E601" s="17">
        <v>31</v>
      </c>
      <c r="F601" s="17">
        <v>243</v>
      </c>
      <c r="G601" s="17">
        <v>315</v>
      </c>
      <c r="H601" s="23">
        <f t="shared" si="9"/>
        <v>0.77142857142857146</v>
      </c>
      <c r="I601" s="17" t="s">
        <v>109</v>
      </c>
    </row>
    <row r="602" spans="1:9" x14ac:dyDescent="0.3">
      <c r="A602" s="18">
        <v>73</v>
      </c>
      <c r="B602" s="40">
        <v>45471</v>
      </c>
      <c r="C602" s="18" t="s">
        <v>125</v>
      </c>
      <c r="D602" s="18">
        <v>13</v>
      </c>
      <c r="E602" s="17">
        <v>20</v>
      </c>
      <c r="F602" s="17">
        <v>297</v>
      </c>
      <c r="G602" s="17">
        <v>363</v>
      </c>
      <c r="H602" s="23">
        <f t="shared" si="9"/>
        <v>0.81818181818181823</v>
      </c>
      <c r="I602" s="17" t="s">
        <v>329</v>
      </c>
    </row>
    <row r="603" spans="1:9" x14ac:dyDescent="0.3">
      <c r="A603" s="18">
        <v>73</v>
      </c>
      <c r="B603" s="40">
        <v>45471</v>
      </c>
      <c r="C603" s="18" t="s">
        <v>235</v>
      </c>
      <c r="D603" s="18">
        <v>14</v>
      </c>
      <c r="E603" s="17">
        <v>12</v>
      </c>
      <c r="F603" s="17">
        <v>96</v>
      </c>
      <c r="G603" s="17">
        <v>129</v>
      </c>
      <c r="H603" s="23">
        <f t="shared" si="9"/>
        <v>0.7441860465116279</v>
      </c>
      <c r="I603" s="17" t="s">
        <v>109</v>
      </c>
    </row>
    <row r="604" spans="1:9" x14ac:dyDescent="0.3">
      <c r="A604" s="18">
        <v>73</v>
      </c>
      <c r="B604" s="40">
        <v>45471</v>
      </c>
      <c r="C604" s="18" t="s">
        <v>98</v>
      </c>
      <c r="D604" s="18">
        <v>15</v>
      </c>
      <c r="E604" s="17">
        <v>10</v>
      </c>
      <c r="F604" s="17">
        <v>37</v>
      </c>
      <c r="G604" s="17">
        <v>55</v>
      </c>
      <c r="H604" s="23">
        <f t="shared" si="9"/>
        <v>0.67272727272727273</v>
      </c>
      <c r="I604" s="17" t="s">
        <v>422</v>
      </c>
    </row>
    <row r="605" spans="1:9" x14ac:dyDescent="0.3">
      <c r="A605" s="18">
        <v>73</v>
      </c>
      <c r="B605" s="40">
        <v>45471</v>
      </c>
      <c r="C605" s="18" t="s">
        <v>347</v>
      </c>
      <c r="D605" s="18">
        <v>16</v>
      </c>
      <c r="E605" s="17">
        <v>10</v>
      </c>
      <c r="F605" s="17">
        <v>117</v>
      </c>
      <c r="G605" s="17">
        <v>159</v>
      </c>
      <c r="H605" s="23">
        <f t="shared" si="9"/>
        <v>0.73584905660377353</v>
      </c>
      <c r="I605" s="17" t="s">
        <v>199</v>
      </c>
    </row>
    <row r="606" spans="1:9" x14ac:dyDescent="0.3">
      <c r="A606" s="18">
        <v>73</v>
      </c>
      <c r="B606" s="40">
        <v>45471</v>
      </c>
      <c r="C606" s="18" t="s">
        <v>426</v>
      </c>
      <c r="D606" s="18">
        <v>17</v>
      </c>
      <c r="E606" s="17">
        <v>9</v>
      </c>
      <c r="F606" s="17">
        <v>18</v>
      </c>
      <c r="G606" s="17">
        <v>78</v>
      </c>
      <c r="H606" s="23">
        <f t="shared" si="9"/>
        <v>0.23076923076923078</v>
      </c>
      <c r="I606" s="17" t="s">
        <v>425</v>
      </c>
    </row>
    <row r="607" spans="1:9" x14ac:dyDescent="0.3">
      <c r="A607" s="18">
        <v>73</v>
      </c>
      <c r="B607" s="40">
        <v>45471</v>
      </c>
      <c r="C607" s="18" t="s">
        <v>419</v>
      </c>
      <c r="D607" s="18">
        <v>18</v>
      </c>
      <c r="E607" s="17">
        <v>9</v>
      </c>
      <c r="F607" s="17">
        <v>20</v>
      </c>
      <c r="G607" s="17">
        <v>62</v>
      </c>
      <c r="H607" s="23">
        <f t="shared" si="9"/>
        <v>0.32258064516129031</v>
      </c>
      <c r="I607" s="17" t="s">
        <v>125</v>
      </c>
    </row>
    <row r="608" spans="1:9" x14ac:dyDescent="0.3">
      <c r="A608" s="18">
        <v>73</v>
      </c>
      <c r="B608" s="40">
        <v>45471</v>
      </c>
      <c r="C608" s="18" t="s">
        <v>421</v>
      </c>
      <c r="D608" s="18">
        <v>19</v>
      </c>
      <c r="E608" s="17">
        <v>9</v>
      </c>
      <c r="F608" s="17">
        <v>30</v>
      </c>
      <c r="G608" s="17">
        <v>52</v>
      </c>
      <c r="H608" s="23">
        <f t="shared" si="9"/>
        <v>0.57692307692307687</v>
      </c>
      <c r="I608" s="17" t="s">
        <v>282</v>
      </c>
    </row>
    <row r="609" spans="1:9" x14ac:dyDescent="0.3">
      <c r="A609" s="18">
        <v>73</v>
      </c>
      <c r="B609" s="40">
        <v>45471</v>
      </c>
      <c r="C609" s="18" t="s">
        <v>427</v>
      </c>
      <c r="D609" s="18">
        <v>20</v>
      </c>
      <c r="E609" s="17">
        <v>7</v>
      </c>
      <c r="F609" s="17">
        <v>27</v>
      </c>
      <c r="G609" s="17">
        <v>60</v>
      </c>
      <c r="H609" s="23">
        <f t="shared" si="9"/>
        <v>0.45</v>
      </c>
      <c r="I609" s="17" t="s">
        <v>199</v>
      </c>
    </row>
    <row r="610" spans="1:9" x14ac:dyDescent="0.3">
      <c r="A610" s="18">
        <v>73</v>
      </c>
      <c r="B610" s="40">
        <v>45471</v>
      </c>
      <c r="C610" s="18" t="s">
        <v>428</v>
      </c>
      <c r="D610" s="18">
        <v>21</v>
      </c>
      <c r="E610" s="17">
        <v>5</v>
      </c>
      <c r="F610" s="17">
        <v>39</v>
      </c>
      <c r="G610" s="17">
        <v>65</v>
      </c>
      <c r="H610" s="23">
        <f t="shared" si="9"/>
        <v>0.6</v>
      </c>
      <c r="I610" s="17" t="s">
        <v>276</v>
      </c>
    </row>
    <row r="611" spans="1:9" x14ac:dyDescent="0.3">
      <c r="A611" s="18">
        <v>73</v>
      </c>
      <c r="B611" s="40">
        <v>45471</v>
      </c>
      <c r="C611" s="18" t="s">
        <v>145</v>
      </c>
      <c r="D611" s="18">
        <v>22</v>
      </c>
      <c r="E611" s="17">
        <v>5</v>
      </c>
      <c r="F611" s="17">
        <v>23</v>
      </c>
      <c r="G611" s="17">
        <v>42</v>
      </c>
      <c r="H611" s="23">
        <f t="shared" si="9"/>
        <v>0.54761904761904767</v>
      </c>
      <c r="I611" s="17" t="s">
        <v>424</v>
      </c>
    </row>
    <row r="612" spans="1:9" x14ac:dyDescent="0.3">
      <c r="A612" s="18">
        <v>73</v>
      </c>
      <c r="B612" s="40">
        <v>45471</v>
      </c>
      <c r="C612" s="18" t="s">
        <v>367</v>
      </c>
      <c r="D612" s="18">
        <v>23</v>
      </c>
      <c r="E612" s="17">
        <v>3</v>
      </c>
      <c r="F612" s="17">
        <v>16</v>
      </c>
      <c r="G612" s="17">
        <v>26</v>
      </c>
      <c r="H612" s="23">
        <f t="shared" si="9"/>
        <v>0.61538461538461542</v>
      </c>
      <c r="I612" s="17" t="s">
        <v>98</v>
      </c>
    </row>
    <row r="613" spans="1:9" x14ac:dyDescent="0.3">
      <c r="A613" s="39">
        <v>74</v>
      </c>
      <c r="B613" s="38">
        <v>45478</v>
      </c>
      <c r="C613" s="39" t="s">
        <v>142</v>
      </c>
      <c r="D613" s="18">
        <v>1</v>
      </c>
      <c r="E613" s="17">
        <v>85</v>
      </c>
      <c r="F613" s="17">
        <v>7897</v>
      </c>
      <c r="G613" s="17">
        <v>6014</v>
      </c>
      <c r="H613" s="23">
        <f t="shared" si="9"/>
        <v>1.3131027602261389</v>
      </c>
      <c r="I613" s="17" t="s">
        <v>276</v>
      </c>
    </row>
    <row r="614" spans="1:9" x14ac:dyDescent="0.3">
      <c r="A614" s="39">
        <v>74</v>
      </c>
      <c r="B614" s="38">
        <v>45478</v>
      </c>
      <c r="C614" s="39" t="s">
        <v>276</v>
      </c>
      <c r="D614" s="18">
        <v>2</v>
      </c>
      <c r="E614" s="17">
        <v>85</v>
      </c>
      <c r="F614" s="17">
        <v>6571</v>
      </c>
      <c r="G614" s="17">
        <v>7279</v>
      </c>
      <c r="H614" s="23">
        <f t="shared" si="9"/>
        <v>0.90273389201813437</v>
      </c>
      <c r="I614" s="17" t="s">
        <v>105</v>
      </c>
    </row>
    <row r="615" spans="1:9" x14ac:dyDescent="0.3">
      <c r="A615" s="39">
        <v>74</v>
      </c>
      <c r="B615" s="38">
        <v>45478</v>
      </c>
      <c r="C615" s="39" t="s">
        <v>105</v>
      </c>
      <c r="D615" s="18">
        <v>3</v>
      </c>
      <c r="E615" s="17">
        <v>85</v>
      </c>
      <c r="F615" s="17">
        <v>6699</v>
      </c>
      <c r="G615" s="17">
        <v>6004</v>
      </c>
      <c r="H615" s="23">
        <f t="shared" si="9"/>
        <v>1.1157561625582946</v>
      </c>
      <c r="I615" s="17" t="s">
        <v>276</v>
      </c>
    </row>
    <row r="616" spans="1:9" x14ac:dyDescent="0.3">
      <c r="A616" s="39">
        <v>74</v>
      </c>
      <c r="B616" s="38">
        <v>45478</v>
      </c>
      <c r="C616" s="39" t="s">
        <v>429</v>
      </c>
      <c r="D616" s="18">
        <v>4</v>
      </c>
      <c r="E616" s="17">
        <v>85</v>
      </c>
      <c r="F616" s="17">
        <v>3615</v>
      </c>
      <c r="G616" s="17">
        <v>3593</v>
      </c>
      <c r="H616" s="23">
        <f t="shared" si="9"/>
        <v>1.0061230169774562</v>
      </c>
      <c r="I616" s="17" t="s">
        <v>142</v>
      </c>
    </row>
    <row r="617" spans="1:9" x14ac:dyDescent="0.3">
      <c r="A617" s="39">
        <v>74</v>
      </c>
      <c r="B617" s="38">
        <v>45478</v>
      </c>
      <c r="C617" s="39" t="s">
        <v>430</v>
      </c>
      <c r="D617" s="18">
        <v>5</v>
      </c>
      <c r="E617" s="17">
        <v>77</v>
      </c>
      <c r="F617" s="17">
        <v>1082</v>
      </c>
      <c r="G617" s="17">
        <v>1009</v>
      </c>
      <c r="H617" s="23">
        <f t="shared" si="9"/>
        <v>1.0723488602576809</v>
      </c>
      <c r="I617" s="17" t="s">
        <v>278</v>
      </c>
    </row>
    <row r="618" spans="1:9" x14ac:dyDescent="0.3">
      <c r="A618" s="39">
        <v>74</v>
      </c>
      <c r="B618" s="38">
        <v>45478</v>
      </c>
      <c r="C618" s="39" t="s">
        <v>172</v>
      </c>
      <c r="D618" s="18">
        <v>6</v>
      </c>
      <c r="E618" s="17">
        <v>62</v>
      </c>
      <c r="F618" s="17">
        <v>779</v>
      </c>
      <c r="G618" s="17">
        <v>920</v>
      </c>
      <c r="H618" s="23">
        <f t="shared" si="9"/>
        <v>0.84673913043478266</v>
      </c>
      <c r="I618" s="17" t="s">
        <v>278</v>
      </c>
    </row>
    <row r="619" spans="1:9" x14ac:dyDescent="0.3">
      <c r="A619" s="39">
        <v>74</v>
      </c>
      <c r="B619" s="38">
        <v>45478</v>
      </c>
      <c r="C619" s="39" t="s">
        <v>423</v>
      </c>
      <c r="D619" s="18">
        <v>7</v>
      </c>
      <c r="E619" s="17">
        <v>57</v>
      </c>
      <c r="F619" s="17">
        <v>1802</v>
      </c>
      <c r="G619" s="17">
        <v>2401</v>
      </c>
      <c r="H619" s="23">
        <f t="shared" si="9"/>
        <v>0.75052061640982926</v>
      </c>
      <c r="I619" s="17" t="s">
        <v>142</v>
      </c>
    </row>
    <row r="620" spans="1:9" x14ac:dyDescent="0.3">
      <c r="A620" s="39">
        <v>74</v>
      </c>
      <c r="B620" s="38">
        <v>45478</v>
      </c>
      <c r="C620" s="39" t="s">
        <v>431</v>
      </c>
      <c r="D620" s="18">
        <v>8</v>
      </c>
      <c r="E620" s="17">
        <v>54</v>
      </c>
      <c r="F620" s="17">
        <v>593</v>
      </c>
      <c r="G620" s="17">
        <v>1030</v>
      </c>
      <c r="H620" s="23">
        <f t="shared" si="9"/>
        <v>0.57572815533980581</v>
      </c>
      <c r="I620" s="17" t="s">
        <v>432</v>
      </c>
    </row>
    <row r="621" spans="1:9" x14ac:dyDescent="0.3">
      <c r="A621" s="39">
        <v>74</v>
      </c>
      <c r="B621" s="38">
        <v>45478</v>
      </c>
      <c r="C621" s="39" t="s">
        <v>164</v>
      </c>
      <c r="D621" s="18">
        <v>9</v>
      </c>
      <c r="E621" s="17">
        <v>36</v>
      </c>
      <c r="F621" s="17">
        <v>253</v>
      </c>
      <c r="G621" s="17">
        <v>395</v>
      </c>
      <c r="H621" s="23">
        <f t="shared" si="9"/>
        <v>0.64050632911392402</v>
      </c>
      <c r="I621" s="17" t="s">
        <v>105</v>
      </c>
    </row>
    <row r="622" spans="1:9" x14ac:dyDescent="0.3">
      <c r="A622" s="39">
        <v>74</v>
      </c>
      <c r="B622" s="38">
        <v>45478</v>
      </c>
      <c r="C622" s="39" t="s">
        <v>416</v>
      </c>
      <c r="D622" s="18">
        <v>10</v>
      </c>
      <c r="E622" s="17">
        <v>33</v>
      </c>
      <c r="F622" s="17">
        <v>274</v>
      </c>
      <c r="G622" s="17">
        <v>376</v>
      </c>
      <c r="H622" s="23">
        <f t="shared" si="9"/>
        <v>0.72872340425531912</v>
      </c>
      <c r="I622" s="17" t="s">
        <v>429</v>
      </c>
    </row>
    <row r="623" spans="1:9" x14ac:dyDescent="0.3">
      <c r="A623" s="39">
        <v>74</v>
      </c>
      <c r="B623" s="38">
        <v>45478</v>
      </c>
      <c r="C623" s="39" t="s">
        <v>190</v>
      </c>
      <c r="D623" s="18">
        <v>11</v>
      </c>
      <c r="E623" s="17">
        <v>12</v>
      </c>
      <c r="F623" s="17">
        <v>71</v>
      </c>
      <c r="G623" s="17">
        <v>93</v>
      </c>
      <c r="H623" s="23">
        <f t="shared" si="9"/>
        <v>0.76344086021505375</v>
      </c>
      <c r="I623" s="17" t="s">
        <v>421</v>
      </c>
    </row>
    <row r="624" spans="1:9" x14ac:dyDescent="0.3">
      <c r="A624" s="39">
        <v>74</v>
      </c>
      <c r="B624" s="38">
        <v>45478</v>
      </c>
      <c r="C624" s="39" t="s">
        <v>424</v>
      </c>
      <c r="D624" s="18">
        <v>12</v>
      </c>
      <c r="E624" s="17">
        <v>12</v>
      </c>
      <c r="F624" s="17">
        <v>129</v>
      </c>
      <c r="G624" s="17">
        <v>181</v>
      </c>
      <c r="H624" s="23">
        <f t="shared" si="9"/>
        <v>0.71270718232044195</v>
      </c>
      <c r="I624" s="17" t="s">
        <v>276</v>
      </c>
    </row>
    <row r="625" spans="1:9" x14ac:dyDescent="0.3">
      <c r="A625" s="39">
        <v>74</v>
      </c>
      <c r="B625" s="38">
        <v>45478</v>
      </c>
      <c r="C625" s="39" t="s">
        <v>433</v>
      </c>
      <c r="D625" s="18">
        <v>13</v>
      </c>
      <c r="E625" s="17">
        <v>12</v>
      </c>
      <c r="F625" s="17">
        <v>74</v>
      </c>
      <c r="G625" s="17">
        <v>112</v>
      </c>
      <c r="H625" s="23">
        <f t="shared" si="9"/>
        <v>0.6607142857142857</v>
      </c>
      <c r="I625" s="17" t="s">
        <v>276</v>
      </c>
    </row>
    <row r="626" spans="1:9" x14ac:dyDescent="0.3">
      <c r="A626" s="39">
        <v>74</v>
      </c>
      <c r="B626" s="38">
        <v>45478</v>
      </c>
      <c r="C626" s="39" t="s">
        <v>341</v>
      </c>
      <c r="D626" s="18">
        <v>14</v>
      </c>
      <c r="E626" s="17">
        <v>11</v>
      </c>
      <c r="F626" s="17">
        <v>164</v>
      </c>
      <c r="G626" s="17">
        <v>276</v>
      </c>
      <c r="H626" s="23">
        <f t="shared" si="9"/>
        <v>0.59420289855072461</v>
      </c>
      <c r="I626" s="17" t="s">
        <v>423</v>
      </c>
    </row>
    <row r="627" spans="1:9" x14ac:dyDescent="0.3">
      <c r="A627" s="39">
        <v>74</v>
      </c>
      <c r="B627" s="38">
        <v>45478</v>
      </c>
      <c r="C627" s="39" t="s">
        <v>421</v>
      </c>
      <c r="D627" s="18">
        <v>15</v>
      </c>
      <c r="E627" s="17">
        <v>11</v>
      </c>
      <c r="F627" s="17">
        <v>75</v>
      </c>
      <c r="G627" s="17">
        <v>83</v>
      </c>
      <c r="H627" s="23">
        <f t="shared" si="9"/>
        <v>0.90361445783132532</v>
      </c>
      <c r="I627" s="17" t="s">
        <v>190</v>
      </c>
    </row>
    <row r="628" spans="1:9" x14ac:dyDescent="0.3">
      <c r="A628" s="39">
        <v>74</v>
      </c>
      <c r="B628" s="38">
        <v>45478</v>
      </c>
      <c r="C628" s="39" t="s">
        <v>434</v>
      </c>
      <c r="D628" s="18">
        <v>16</v>
      </c>
      <c r="E628" s="17">
        <v>10</v>
      </c>
      <c r="F628" s="17">
        <v>52</v>
      </c>
      <c r="G628" s="17">
        <v>81</v>
      </c>
      <c r="H628" s="23">
        <f t="shared" si="9"/>
        <v>0.64197530864197527</v>
      </c>
      <c r="I628" s="17" t="s">
        <v>164</v>
      </c>
    </row>
    <row r="629" spans="1:9" x14ac:dyDescent="0.3">
      <c r="A629" s="39">
        <v>74</v>
      </c>
      <c r="B629" s="38">
        <v>45478</v>
      </c>
      <c r="C629" s="39" t="s">
        <v>419</v>
      </c>
      <c r="D629" s="18">
        <v>17</v>
      </c>
      <c r="E629" s="17">
        <v>10</v>
      </c>
      <c r="F629" s="17">
        <v>74</v>
      </c>
      <c r="G629" s="17">
        <v>116</v>
      </c>
      <c r="H629" s="23">
        <f t="shared" si="9"/>
        <v>0.63793103448275867</v>
      </c>
      <c r="I629" s="17" t="s">
        <v>278</v>
      </c>
    </row>
    <row r="630" spans="1:9" x14ac:dyDescent="0.3">
      <c r="A630" s="39">
        <v>74</v>
      </c>
      <c r="B630" s="38">
        <v>45478</v>
      </c>
      <c r="C630" s="39" t="s">
        <v>422</v>
      </c>
      <c r="D630" s="18">
        <v>18</v>
      </c>
      <c r="E630" s="17">
        <v>9</v>
      </c>
      <c r="F630" s="17">
        <v>45</v>
      </c>
      <c r="G630" s="17">
        <v>60</v>
      </c>
      <c r="H630" s="23">
        <f t="shared" si="9"/>
        <v>0.75</v>
      </c>
      <c r="I630" s="17" t="s">
        <v>105</v>
      </c>
    </row>
    <row r="631" spans="1:9" x14ac:dyDescent="0.3">
      <c r="A631" s="39">
        <v>74</v>
      </c>
      <c r="B631" s="38">
        <v>45478</v>
      </c>
      <c r="C631" s="39" t="s">
        <v>125</v>
      </c>
      <c r="D631" s="18">
        <v>19</v>
      </c>
      <c r="E631" s="17">
        <v>9</v>
      </c>
      <c r="F631" s="17">
        <v>32</v>
      </c>
      <c r="G631" s="17">
        <v>41</v>
      </c>
      <c r="H631" s="23">
        <f t="shared" si="9"/>
        <v>0.78048780487804881</v>
      </c>
      <c r="I631" s="17" t="s">
        <v>430</v>
      </c>
    </row>
    <row r="632" spans="1:9" x14ac:dyDescent="0.3">
      <c r="A632" s="39">
        <v>74</v>
      </c>
      <c r="B632" s="38">
        <v>45478</v>
      </c>
      <c r="C632" s="39" t="s">
        <v>109</v>
      </c>
      <c r="D632" s="18">
        <v>20</v>
      </c>
      <c r="E632" s="17">
        <v>8</v>
      </c>
      <c r="F632" s="17">
        <v>41</v>
      </c>
      <c r="G632" s="17">
        <v>72</v>
      </c>
      <c r="H632" s="23">
        <f t="shared" si="9"/>
        <v>0.56944444444444442</v>
      </c>
      <c r="I632" s="17" t="s">
        <v>430</v>
      </c>
    </row>
    <row r="633" spans="1:9" x14ac:dyDescent="0.3">
      <c r="A633" s="39">
        <v>74</v>
      </c>
      <c r="B633" s="38">
        <v>45478</v>
      </c>
      <c r="C633" s="39" t="s">
        <v>435</v>
      </c>
      <c r="D633" s="18">
        <v>21</v>
      </c>
      <c r="E633" s="17">
        <v>7</v>
      </c>
      <c r="F633" s="17">
        <v>25</v>
      </c>
      <c r="G633" s="17">
        <v>61</v>
      </c>
      <c r="H633" s="23">
        <f t="shared" si="9"/>
        <v>0.4098360655737705</v>
      </c>
      <c r="I633" s="17" t="s">
        <v>164</v>
      </c>
    </row>
    <row r="634" spans="1:9" x14ac:dyDescent="0.3">
      <c r="A634" s="39">
        <v>74</v>
      </c>
      <c r="B634" s="38">
        <v>45478</v>
      </c>
      <c r="C634" s="39" t="s">
        <v>360</v>
      </c>
      <c r="D634" s="18">
        <v>22</v>
      </c>
      <c r="E634" s="17">
        <v>6</v>
      </c>
      <c r="F634" s="17">
        <v>30</v>
      </c>
      <c r="G634" s="17">
        <v>47</v>
      </c>
      <c r="H634" s="23">
        <f t="shared" si="9"/>
        <v>0.63829787234042556</v>
      </c>
      <c r="I634" s="17" t="s">
        <v>142</v>
      </c>
    </row>
    <row r="635" spans="1:9" x14ac:dyDescent="0.3">
      <c r="A635" s="39">
        <v>74</v>
      </c>
      <c r="B635" s="38">
        <v>45478</v>
      </c>
      <c r="C635" s="39" t="s">
        <v>436</v>
      </c>
      <c r="D635" s="18">
        <v>23</v>
      </c>
      <c r="E635" s="17">
        <v>3</v>
      </c>
      <c r="F635" s="17">
        <v>7</v>
      </c>
      <c r="G635" s="17">
        <v>19</v>
      </c>
      <c r="H635" s="23">
        <f t="shared" si="9"/>
        <v>0.36842105263157893</v>
      </c>
      <c r="I635" s="17" t="s">
        <v>105</v>
      </c>
    </row>
    <row r="636" spans="1:9" x14ac:dyDescent="0.3">
      <c r="A636" s="18">
        <v>76</v>
      </c>
      <c r="B636" s="40">
        <v>45492</v>
      </c>
      <c r="C636" s="18" t="s">
        <v>161</v>
      </c>
      <c r="D636" s="18">
        <v>1</v>
      </c>
      <c r="E636" s="17">
        <v>75</v>
      </c>
      <c r="F636" s="17">
        <v>6597</v>
      </c>
      <c r="G636" s="17">
        <v>5072</v>
      </c>
      <c r="H636" s="23">
        <f t="shared" si="9"/>
        <v>1.3006703470031546</v>
      </c>
      <c r="I636" s="17" t="s">
        <v>437</v>
      </c>
    </row>
    <row r="637" spans="1:9" x14ac:dyDescent="0.3">
      <c r="A637" s="18">
        <v>76</v>
      </c>
      <c r="B637" s="40">
        <v>45492</v>
      </c>
      <c r="C637" s="18" t="s">
        <v>130</v>
      </c>
      <c r="D637" s="18">
        <v>2</v>
      </c>
      <c r="E637" s="17">
        <v>75</v>
      </c>
      <c r="F637" s="17">
        <v>1071</v>
      </c>
      <c r="G637" s="17">
        <v>1081</v>
      </c>
      <c r="H637" s="23">
        <f t="shared" si="9"/>
        <v>0.99074930619796486</v>
      </c>
      <c r="I637" s="17" t="s">
        <v>438</v>
      </c>
    </row>
    <row r="638" spans="1:9" x14ac:dyDescent="0.3">
      <c r="A638" s="18">
        <v>76</v>
      </c>
      <c r="B638" s="40">
        <v>45492</v>
      </c>
      <c r="C638" s="18" t="s">
        <v>164</v>
      </c>
      <c r="D638" s="18">
        <v>3</v>
      </c>
      <c r="E638" s="17">
        <v>75</v>
      </c>
      <c r="F638" s="17">
        <v>5207</v>
      </c>
      <c r="G638" s="17">
        <v>3673</v>
      </c>
      <c r="H638" s="23">
        <f t="shared" si="9"/>
        <v>1.417642254288048</v>
      </c>
      <c r="I638" s="17" t="s">
        <v>437</v>
      </c>
    </row>
    <row r="639" spans="1:9" x14ac:dyDescent="0.3">
      <c r="A639" s="18">
        <v>76</v>
      </c>
      <c r="B639" s="40">
        <v>45492</v>
      </c>
      <c r="C639" s="18" t="s">
        <v>109</v>
      </c>
      <c r="D639" s="18">
        <v>4</v>
      </c>
      <c r="E639" s="17">
        <v>74</v>
      </c>
      <c r="F639" s="17">
        <v>2385</v>
      </c>
      <c r="G639" s="17">
        <v>2946</v>
      </c>
      <c r="H639" s="23">
        <f t="shared" si="9"/>
        <v>0.80957230142566194</v>
      </c>
      <c r="I639" s="17" t="s">
        <v>161</v>
      </c>
    </row>
    <row r="640" spans="1:9" x14ac:dyDescent="0.3">
      <c r="A640" s="18">
        <v>76</v>
      </c>
      <c r="B640" s="40">
        <v>45492</v>
      </c>
      <c r="C640" s="18" t="s">
        <v>421</v>
      </c>
      <c r="D640" s="18">
        <v>5</v>
      </c>
      <c r="E640" s="17">
        <v>74</v>
      </c>
      <c r="F640" s="17">
        <v>2562</v>
      </c>
      <c r="G640" s="17">
        <v>2934</v>
      </c>
      <c r="H640" s="23">
        <f t="shared" si="9"/>
        <v>0.87321063394683029</v>
      </c>
      <c r="I640" s="17" t="s">
        <v>161</v>
      </c>
    </row>
    <row r="641" spans="1:9" x14ac:dyDescent="0.3">
      <c r="A641" s="18">
        <v>76</v>
      </c>
      <c r="B641" s="40">
        <v>45492</v>
      </c>
      <c r="C641" s="18" t="s">
        <v>437</v>
      </c>
      <c r="D641" s="18">
        <v>6</v>
      </c>
      <c r="E641" s="17">
        <v>74</v>
      </c>
      <c r="F641" s="17">
        <v>5569</v>
      </c>
      <c r="G641" s="17">
        <v>6662</v>
      </c>
      <c r="H641" s="23">
        <f t="shared" si="9"/>
        <v>0.83593515460822576</v>
      </c>
      <c r="I641" s="17" t="s">
        <v>164</v>
      </c>
    </row>
    <row r="642" spans="1:9" x14ac:dyDescent="0.3">
      <c r="A642" s="18">
        <v>76</v>
      </c>
      <c r="B642" s="40">
        <v>45492</v>
      </c>
      <c r="C642" s="18" t="s">
        <v>424</v>
      </c>
      <c r="D642" s="18">
        <v>7</v>
      </c>
      <c r="E642" s="17">
        <v>44</v>
      </c>
      <c r="F642" s="17">
        <v>311</v>
      </c>
      <c r="G642" s="17">
        <v>373</v>
      </c>
      <c r="H642" s="23">
        <f t="shared" ref="H642:H705" si="10">F642/G642</f>
        <v>0.83378016085790885</v>
      </c>
      <c r="I642" s="17" t="s">
        <v>131</v>
      </c>
    </row>
    <row r="643" spans="1:9" x14ac:dyDescent="0.3">
      <c r="A643" s="18">
        <v>76</v>
      </c>
      <c r="B643" s="40">
        <v>45492</v>
      </c>
      <c r="C643" s="18" t="s">
        <v>278</v>
      </c>
      <c r="D643" s="18">
        <v>8</v>
      </c>
      <c r="E643" s="17">
        <v>30</v>
      </c>
      <c r="F643" s="17">
        <v>573</v>
      </c>
      <c r="G643" s="17">
        <v>833</v>
      </c>
      <c r="H643" s="23">
        <f t="shared" si="10"/>
        <v>0.68787515006002398</v>
      </c>
      <c r="I643" s="17" t="s">
        <v>164</v>
      </c>
    </row>
    <row r="644" spans="1:9" x14ac:dyDescent="0.3">
      <c r="A644" s="18">
        <v>76</v>
      </c>
      <c r="B644" s="40">
        <v>45492</v>
      </c>
      <c r="C644" s="18" t="s">
        <v>131</v>
      </c>
      <c r="D644" s="18">
        <v>9</v>
      </c>
      <c r="E644" s="17">
        <v>22</v>
      </c>
      <c r="F644" s="17">
        <v>371</v>
      </c>
      <c r="G644" s="17">
        <v>366</v>
      </c>
      <c r="H644" s="23">
        <f t="shared" si="10"/>
        <v>1.0136612021857923</v>
      </c>
      <c r="I644" s="17" t="s">
        <v>109</v>
      </c>
    </row>
    <row r="645" spans="1:9" x14ac:dyDescent="0.3">
      <c r="A645" s="18">
        <v>76</v>
      </c>
      <c r="B645" s="40">
        <v>45492</v>
      </c>
      <c r="C645" s="18" t="s">
        <v>439</v>
      </c>
      <c r="D645" s="18">
        <v>10</v>
      </c>
      <c r="E645" s="17">
        <v>16</v>
      </c>
      <c r="F645" s="17">
        <v>133</v>
      </c>
      <c r="G645" s="17">
        <v>187</v>
      </c>
      <c r="H645" s="23">
        <f t="shared" si="10"/>
        <v>0.71122994652406413</v>
      </c>
      <c r="I645" s="17" t="s">
        <v>278</v>
      </c>
    </row>
    <row r="646" spans="1:9" x14ac:dyDescent="0.3">
      <c r="A646" s="18">
        <v>76</v>
      </c>
      <c r="B646" s="40">
        <v>45492</v>
      </c>
      <c r="C646" s="18" t="s">
        <v>282</v>
      </c>
      <c r="D646" s="18">
        <v>11</v>
      </c>
      <c r="E646" s="17">
        <v>16</v>
      </c>
      <c r="F646" s="17">
        <v>500</v>
      </c>
      <c r="G646" s="17">
        <v>557</v>
      </c>
      <c r="H646" s="23">
        <f t="shared" si="10"/>
        <v>0.89766606822262118</v>
      </c>
      <c r="I646" s="17" t="s">
        <v>190</v>
      </c>
    </row>
    <row r="647" spans="1:9" x14ac:dyDescent="0.3">
      <c r="A647" s="18">
        <v>76</v>
      </c>
      <c r="B647" s="40">
        <v>45492</v>
      </c>
      <c r="C647" s="18" t="s">
        <v>440</v>
      </c>
      <c r="D647" s="18">
        <v>12</v>
      </c>
      <c r="E647" s="17">
        <v>14</v>
      </c>
      <c r="F647" s="17">
        <v>155</v>
      </c>
      <c r="G647" s="17">
        <v>185</v>
      </c>
      <c r="H647" s="23">
        <f t="shared" si="10"/>
        <v>0.83783783783783783</v>
      </c>
      <c r="I647" s="17" t="s">
        <v>109</v>
      </c>
    </row>
    <row r="648" spans="1:9" x14ac:dyDescent="0.3">
      <c r="A648" s="18">
        <v>76</v>
      </c>
      <c r="B648" s="40">
        <v>45492</v>
      </c>
      <c r="C648" s="18" t="s">
        <v>190</v>
      </c>
      <c r="D648" s="18">
        <v>13</v>
      </c>
      <c r="E648" s="17">
        <v>13</v>
      </c>
      <c r="F648" s="17">
        <v>148</v>
      </c>
      <c r="G648" s="17">
        <v>198</v>
      </c>
      <c r="H648" s="23">
        <f t="shared" si="10"/>
        <v>0.74747474747474751</v>
      </c>
      <c r="I648" s="17" t="s">
        <v>282</v>
      </c>
    </row>
    <row r="649" spans="1:9" x14ac:dyDescent="0.3">
      <c r="A649" s="18">
        <v>76</v>
      </c>
      <c r="B649" s="40">
        <v>45492</v>
      </c>
      <c r="C649" s="18" t="s">
        <v>430</v>
      </c>
      <c r="D649" s="18">
        <v>14</v>
      </c>
      <c r="E649" s="17">
        <v>12</v>
      </c>
      <c r="F649" s="17">
        <v>33</v>
      </c>
      <c r="G649" s="17">
        <v>71</v>
      </c>
      <c r="H649" s="23">
        <f t="shared" si="10"/>
        <v>0.46478873239436619</v>
      </c>
      <c r="I649" s="17" t="s">
        <v>131</v>
      </c>
    </row>
    <row r="650" spans="1:9" x14ac:dyDescent="0.3">
      <c r="A650" s="18">
        <v>76</v>
      </c>
      <c r="B650" s="40">
        <v>45492</v>
      </c>
      <c r="C650" s="18" t="s">
        <v>441</v>
      </c>
      <c r="D650" s="18">
        <v>15</v>
      </c>
      <c r="E650" s="17">
        <v>12</v>
      </c>
      <c r="F650" s="17">
        <v>75</v>
      </c>
      <c r="G650" s="17">
        <v>164</v>
      </c>
      <c r="H650" s="23">
        <f t="shared" si="10"/>
        <v>0.45731707317073172</v>
      </c>
      <c r="I650" s="17" t="s">
        <v>161</v>
      </c>
    </row>
    <row r="651" spans="1:9" x14ac:dyDescent="0.3">
      <c r="A651" s="18">
        <v>76</v>
      </c>
      <c r="B651" s="40">
        <v>45492</v>
      </c>
      <c r="C651" s="18" t="s">
        <v>235</v>
      </c>
      <c r="D651" s="18">
        <v>16</v>
      </c>
      <c r="E651" s="17">
        <v>11</v>
      </c>
      <c r="F651" s="17">
        <v>74</v>
      </c>
      <c r="G651" s="17">
        <v>89</v>
      </c>
      <c r="H651" s="23">
        <f t="shared" si="10"/>
        <v>0.8314606741573034</v>
      </c>
      <c r="I651" s="17" t="s">
        <v>282</v>
      </c>
    </row>
    <row r="652" spans="1:9" x14ac:dyDescent="0.3">
      <c r="A652" s="18">
        <v>76</v>
      </c>
      <c r="B652" s="40">
        <v>45492</v>
      </c>
      <c r="C652" s="18" t="s">
        <v>187</v>
      </c>
      <c r="D652" s="18">
        <v>17</v>
      </c>
      <c r="E652" s="17">
        <v>11</v>
      </c>
      <c r="F652" s="17">
        <v>101</v>
      </c>
      <c r="G652" s="17">
        <v>115</v>
      </c>
      <c r="H652" s="23">
        <f t="shared" si="10"/>
        <v>0.87826086956521743</v>
      </c>
      <c r="I652" s="17" t="s">
        <v>282</v>
      </c>
    </row>
    <row r="653" spans="1:9" x14ac:dyDescent="0.3">
      <c r="A653" s="18">
        <v>76</v>
      </c>
      <c r="B653" s="40">
        <v>45492</v>
      </c>
      <c r="C653" s="18" t="s">
        <v>377</v>
      </c>
      <c r="D653" s="18">
        <v>18</v>
      </c>
      <c r="E653" s="17">
        <v>10</v>
      </c>
      <c r="F653" s="17">
        <v>47</v>
      </c>
      <c r="G653" s="17">
        <v>84</v>
      </c>
      <c r="H653" s="23">
        <f t="shared" si="10"/>
        <v>0.55952380952380953</v>
      </c>
      <c r="I653" s="17" t="s">
        <v>424</v>
      </c>
    </row>
    <row r="654" spans="1:9" x14ac:dyDescent="0.3">
      <c r="A654" s="18">
        <v>76</v>
      </c>
      <c r="B654" s="40">
        <v>45492</v>
      </c>
      <c r="C654" s="18" t="s">
        <v>105</v>
      </c>
      <c r="D654" s="18">
        <v>19</v>
      </c>
      <c r="E654" s="17">
        <v>10</v>
      </c>
      <c r="F654" s="17">
        <v>84</v>
      </c>
      <c r="G654" s="17">
        <v>85</v>
      </c>
      <c r="H654" s="23">
        <f t="shared" si="10"/>
        <v>0.9882352941176471</v>
      </c>
      <c r="I654" s="17" t="s">
        <v>278</v>
      </c>
    </row>
    <row r="655" spans="1:9" x14ac:dyDescent="0.3">
      <c r="A655" s="18">
        <v>76</v>
      </c>
      <c r="B655" s="40">
        <v>45492</v>
      </c>
      <c r="C655" s="18" t="s">
        <v>442</v>
      </c>
      <c r="D655" s="18">
        <v>20</v>
      </c>
      <c r="E655" s="17">
        <v>8</v>
      </c>
      <c r="F655" s="17">
        <v>81</v>
      </c>
      <c r="G655" s="17">
        <v>99</v>
      </c>
      <c r="H655" s="23">
        <f t="shared" si="10"/>
        <v>0.81818181818181823</v>
      </c>
      <c r="I655" s="17" t="s">
        <v>282</v>
      </c>
    </row>
    <row r="656" spans="1:9" x14ac:dyDescent="0.3">
      <c r="A656" s="18">
        <v>76</v>
      </c>
      <c r="B656" s="40">
        <v>45492</v>
      </c>
      <c r="C656" s="18" t="s">
        <v>443</v>
      </c>
      <c r="D656" s="18">
        <v>21</v>
      </c>
      <c r="E656" s="17">
        <v>7</v>
      </c>
      <c r="F656" s="17">
        <v>37</v>
      </c>
      <c r="G656" s="17">
        <v>57</v>
      </c>
      <c r="H656" s="23">
        <f t="shared" si="10"/>
        <v>0.64912280701754388</v>
      </c>
      <c r="I656" s="17" t="s">
        <v>282</v>
      </c>
    </row>
    <row r="657" spans="1:9" x14ac:dyDescent="0.3">
      <c r="A657" s="18">
        <v>76</v>
      </c>
      <c r="B657" s="40">
        <v>45492</v>
      </c>
      <c r="C657" s="18" t="s">
        <v>428</v>
      </c>
      <c r="D657" s="18">
        <v>22</v>
      </c>
      <c r="E657" s="17">
        <v>3</v>
      </c>
      <c r="F657" s="17">
        <v>11</v>
      </c>
      <c r="G657" s="17">
        <v>23</v>
      </c>
      <c r="H657" s="23">
        <f t="shared" si="10"/>
        <v>0.47826086956521741</v>
      </c>
      <c r="I657" s="17" t="s">
        <v>130</v>
      </c>
    </row>
    <row r="658" spans="1:9" x14ac:dyDescent="0.3">
      <c r="A658" s="18">
        <v>77</v>
      </c>
      <c r="B658" s="40">
        <v>45499</v>
      </c>
      <c r="C658" s="18" t="s">
        <v>161</v>
      </c>
      <c r="D658" s="18">
        <v>1</v>
      </c>
      <c r="E658" s="17">
        <v>68</v>
      </c>
      <c r="F658" s="17">
        <v>9622</v>
      </c>
      <c r="G658" s="17">
        <v>8986</v>
      </c>
      <c r="H658" s="23">
        <f t="shared" si="10"/>
        <v>1.0707767638548853</v>
      </c>
      <c r="I658" s="17" t="s">
        <v>143</v>
      </c>
    </row>
    <row r="659" spans="1:9" x14ac:dyDescent="0.3">
      <c r="A659" s="18">
        <v>77</v>
      </c>
      <c r="B659" s="40">
        <v>45499</v>
      </c>
      <c r="C659" s="18" t="s">
        <v>143</v>
      </c>
      <c r="D659" s="18">
        <v>2</v>
      </c>
      <c r="E659" s="17">
        <v>68</v>
      </c>
      <c r="F659" s="17">
        <v>5074</v>
      </c>
      <c r="G659" s="17">
        <v>5268</v>
      </c>
      <c r="H659" s="23">
        <f t="shared" si="10"/>
        <v>0.96317388003037208</v>
      </c>
      <c r="I659" s="17" t="s">
        <v>161</v>
      </c>
    </row>
    <row r="660" spans="1:9" x14ac:dyDescent="0.3">
      <c r="A660" s="18">
        <v>77</v>
      </c>
      <c r="B660" s="40">
        <v>45499</v>
      </c>
      <c r="C660" s="18" t="s">
        <v>444</v>
      </c>
      <c r="D660" s="18">
        <v>3</v>
      </c>
      <c r="E660" s="17">
        <v>68</v>
      </c>
      <c r="F660" s="17">
        <v>3745</v>
      </c>
      <c r="G660" s="17">
        <v>3819</v>
      </c>
      <c r="H660" s="23">
        <f t="shared" si="10"/>
        <v>0.98062319979052104</v>
      </c>
      <c r="I660" s="17" t="s">
        <v>161</v>
      </c>
    </row>
    <row r="661" spans="1:9" x14ac:dyDescent="0.3">
      <c r="A661" s="18">
        <v>77</v>
      </c>
      <c r="B661" s="40">
        <v>45499</v>
      </c>
      <c r="C661" s="18" t="s">
        <v>396</v>
      </c>
      <c r="D661" s="18">
        <v>4</v>
      </c>
      <c r="E661" s="17">
        <v>68</v>
      </c>
      <c r="F661" s="17">
        <v>3191</v>
      </c>
      <c r="G661" s="17">
        <v>3124</v>
      </c>
      <c r="H661" s="23">
        <f t="shared" si="10"/>
        <v>1.0214468629961588</v>
      </c>
      <c r="I661" s="17" t="s">
        <v>161</v>
      </c>
    </row>
    <row r="662" spans="1:9" x14ac:dyDescent="0.3">
      <c r="A662" s="18">
        <v>77</v>
      </c>
      <c r="B662" s="40">
        <v>45499</v>
      </c>
      <c r="C662" s="18" t="s">
        <v>251</v>
      </c>
      <c r="D662" s="18">
        <v>5</v>
      </c>
      <c r="E662" s="17">
        <v>68</v>
      </c>
      <c r="F662" s="17">
        <v>730</v>
      </c>
      <c r="G662" s="17">
        <v>588</v>
      </c>
      <c r="H662" s="23">
        <f t="shared" si="10"/>
        <v>1.2414965986394557</v>
      </c>
      <c r="I662" s="17" t="s">
        <v>143</v>
      </c>
    </row>
    <row r="663" spans="1:9" x14ac:dyDescent="0.3">
      <c r="A663" s="18">
        <v>77</v>
      </c>
      <c r="B663" s="40">
        <v>45499</v>
      </c>
      <c r="C663" s="18" t="s">
        <v>416</v>
      </c>
      <c r="D663" s="18">
        <v>6</v>
      </c>
      <c r="E663" s="17">
        <v>25</v>
      </c>
      <c r="F663" s="17">
        <v>393</v>
      </c>
      <c r="G663" s="17">
        <v>413</v>
      </c>
      <c r="H663" s="23">
        <f t="shared" si="10"/>
        <v>0.95157384987893467</v>
      </c>
      <c r="I663" s="17" t="s">
        <v>143</v>
      </c>
    </row>
    <row r="664" spans="1:9" x14ac:dyDescent="0.3">
      <c r="A664" s="18">
        <v>77</v>
      </c>
      <c r="B664" s="40">
        <v>45499</v>
      </c>
      <c r="C664" s="18" t="s">
        <v>164</v>
      </c>
      <c r="D664" s="18">
        <v>7</v>
      </c>
      <c r="E664" s="17">
        <v>25</v>
      </c>
      <c r="F664" s="17">
        <v>167</v>
      </c>
      <c r="G664" s="17">
        <v>181</v>
      </c>
      <c r="H664" s="23">
        <f t="shared" si="10"/>
        <v>0.92265193370165743</v>
      </c>
      <c r="I664" s="17" t="s">
        <v>396</v>
      </c>
    </row>
    <row r="665" spans="1:9" x14ac:dyDescent="0.3">
      <c r="A665" s="18">
        <v>77</v>
      </c>
      <c r="B665" s="40">
        <v>45499</v>
      </c>
      <c r="C665" s="18" t="s">
        <v>430</v>
      </c>
      <c r="D665" s="18">
        <v>8</v>
      </c>
      <c r="E665" s="17">
        <v>25</v>
      </c>
      <c r="F665" s="17">
        <v>487</v>
      </c>
      <c r="G665" s="17">
        <v>416</v>
      </c>
      <c r="H665" s="23">
        <f t="shared" si="10"/>
        <v>1.1706730769230769</v>
      </c>
      <c r="I665" s="17" t="s">
        <v>161</v>
      </c>
    </row>
    <row r="666" spans="1:9" x14ac:dyDescent="0.3">
      <c r="A666" s="18">
        <v>77</v>
      </c>
      <c r="B666" s="40">
        <v>45499</v>
      </c>
      <c r="C666" s="18" t="s">
        <v>445</v>
      </c>
      <c r="D666" s="18">
        <v>9</v>
      </c>
      <c r="E666" s="17">
        <v>23</v>
      </c>
      <c r="F666" s="17">
        <v>365</v>
      </c>
      <c r="G666" s="17">
        <v>411</v>
      </c>
      <c r="H666" s="23">
        <f t="shared" si="10"/>
        <v>0.88807785888077861</v>
      </c>
      <c r="I666" s="17" t="s">
        <v>161</v>
      </c>
    </row>
    <row r="667" spans="1:9" x14ac:dyDescent="0.3">
      <c r="A667" s="18">
        <v>77</v>
      </c>
      <c r="B667" s="40">
        <v>45499</v>
      </c>
      <c r="C667" s="18" t="s">
        <v>122</v>
      </c>
      <c r="D667" s="18">
        <v>10</v>
      </c>
      <c r="E667" s="17">
        <v>21</v>
      </c>
      <c r="F667" s="17">
        <v>120</v>
      </c>
      <c r="G667" s="17">
        <v>226</v>
      </c>
      <c r="H667" s="23">
        <f t="shared" si="10"/>
        <v>0.53097345132743368</v>
      </c>
      <c r="I667" s="17" t="s">
        <v>416</v>
      </c>
    </row>
    <row r="668" spans="1:9" x14ac:dyDescent="0.3">
      <c r="A668" s="18">
        <v>77</v>
      </c>
      <c r="B668" s="40">
        <v>45499</v>
      </c>
      <c r="C668" s="18" t="s">
        <v>217</v>
      </c>
      <c r="D668" s="18">
        <v>11</v>
      </c>
      <c r="E668" s="17">
        <v>14</v>
      </c>
      <c r="F668" s="17">
        <v>343</v>
      </c>
      <c r="G668" s="17">
        <v>402</v>
      </c>
      <c r="H668" s="23">
        <f t="shared" si="10"/>
        <v>0.85323383084577109</v>
      </c>
      <c r="I668" s="17" t="s">
        <v>143</v>
      </c>
    </row>
    <row r="669" spans="1:9" x14ac:dyDescent="0.3">
      <c r="A669" s="18">
        <v>77</v>
      </c>
      <c r="B669" s="40">
        <v>45499</v>
      </c>
      <c r="C669" s="18" t="s">
        <v>367</v>
      </c>
      <c r="D669" s="18">
        <v>12</v>
      </c>
      <c r="E669" s="17">
        <v>13</v>
      </c>
      <c r="F669" s="17">
        <v>194</v>
      </c>
      <c r="G669" s="17">
        <v>224</v>
      </c>
      <c r="H669" s="23">
        <f t="shared" si="10"/>
        <v>0.8660714285714286</v>
      </c>
      <c r="I669" s="17" t="s">
        <v>444</v>
      </c>
    </row>
    <row r="670" spans="1:9" x14ac:dyDescent="0.3">
      <c r="A670" s="18">
        <v>77</v>
      </c>
      <c r="B670" s="40">
        <v>45499</v>
      </c>
      <c r="C670" s="18" t="s">
        <v>109</v>
      </c>
      <c r="D670" s="18">
        <v>13</v>
      </c>
      <c r="E670" s="17">
        <v>13</v>
      </c>
      <c r="F670" s="17">
        <v>340</v>
      </c>
      <c r="G670" s="17">
        <v>324</v>
      </c>
      <c r="H670" s="23">
        <f t="shared" si="10"/>
        <v>1.0493827160493827</v>
      </c>
      <c r="I670" s="17" t="s">
        <v>217</v>
      </c>
    </row>
    <row r="671" spans="1:9" x14ac:dyDescent="0.3">
      <c r="A671" s="18">
        <v>77</v>
      </c>
      <c r="B671" s="40">
        <v>45499</v>
      </c>
      <c r="C671" s="18" t="s">
        <v>446</v>
      </c>
      <c r="D671" s="18">
        <v>14</v>
      </c>
      <c r="E671" s="17">
        <v>10</v>
      </c>
      <c r="F671" s="17">
        <v>38</v>
      </c>
      <c r="G671" s="17">
        <v>54</v>
      </c>
      <c r="H671" s="23">
        <f t="shared" si="10"/>
        <v>0.70370370370370372</v>
      </c>
      <c r="I671" s="17" t="s">
        <v>430</v>
      </c>
    </row>
    <row r="672" spans="1:9" x14ac:dyDescent="0.3">
      <c r="A672" s="18">
        <v>77</v>
      </c>
      <c r="B672" s="40">
        <v>45499</v>
      </c>
      <c r="C672" s="18" t="s">
        <v>447</v>
      </c>
      <c r="D672" s="18">
        <v>15</v>
      </c>
      <c r="E672" s="17">
        <v>10</v>
      </c>
      <c r="F672" s="17">
        <v>73</v>
      </c>
      <c r="G672" s="17">
        <v>83</v>
      </c>
      <c r="H672" s="23">
        <f t="shared" si="10"/>
        <v>0.87951807228915657</v>
      </c>
      <c r="I672" s="17" t="s">
        <v>396</v>
      </c>
    </row>
    <row r="673" spans="1:9" x14ac:dyDescent="0.3">
      <c r="A673" s="18">
        <v>77</v>
      </c>
      <c r="B673" s="40">
        <v>45499</v>
      </c>
      <c r="C673" s="18" t="s">
        <v>166</v>
      </c>
      <c r="D673" s="18">
        <v>16</v>
      </c>
      <c r="E673" s="17">
        <v>10</v>
      </c>
      <c r="F673" s="17">
        <v>56</v>
      </c>
      <c r="G673" s="17">
        <v>120</v>
      </c>
      <c r="H673" s="23">
        <f t="shared" si="10"/>
        <v>0.46666666666666667</v>
      </c>
      <c r="I673" s="17" t="s">
        <v>396</v>
      </c>
    </row>
    <row r="674" spans="1:9" x14ac:dyDescent="0.3">
      <c r="A674" s="18">
        <v>77</v>
      </c>
      <c r="B674" s="40">
        <v>45499</v>
      </c>
      <c r="C674" s="18" t="s">
        <v>448</v>
      </c>
      <c r="D674" s="18">
        <v>17</v>
      </c>
      <c r="E674" s="17">
        <v>9</v>
      </c>
      <c r="F674" s="17">
        <v>44</v>
      </c>
      <c r="G674" s="17">
        <v>89</v>
      </c>
      <c r="H674" s="23">
        <f t="shared" si="10"/>
        <v>0.4943820224719101</v>
      </c>
      <c r="I674" s="17" t="s">
        <v>449</v>
      </c>
    </row>
    <row r="675" spans="1:9" x14ac:dyDescent="0.3">
      <c r="A675" s="18">
        <v>77</v>
      </c>
      <c r="B675" s="40">
        <v>45499</v>
      </c>
      <c r="C675" s="18" t="s">
        <v>450</v>
      </c>
      <c r="D675" s="18">
        <v>18</v>
      </c>
      <c r="E675" s="17">
        <v>9</v>
      </c>
      <c r="F675" s="17">
        <v>69</v>
      </c>
      <c r="G675" s="17">
        <v>122</v>
      </c>
      <c r="H675" s="23">
        <f t="shared" si="10"/>
        <v>0.56557377049180324</v>
      </c>
      <c r="I675" s="17" t="s">
        <v>445</v>
      </c>
    </row>
    <row r="676" spans="1:9" x14ac:dyDescent="0.3">
      <c r="A676" s="18">
        <v>77</v>
      </c>
      <c r="B676" s="40">
        <v>45499</v>
      </c>
      <c r="C676" s="18" t="s">
        <v>449</v>
      </c>
      <c r="D676" s="18">
        <v>19</v>
      </c>
      <c r="E676" s="17">
        <v>8</v>
      </c>
      <c r="F676" s="17">
        <v>113</v>
      </c>
      <c r="G676" s="17">
        <v>114</v>
      </c>
      <c r="H676" s="23">
        <f t="shared" si="10"/>
        <v>0.99122807017543857</v>
      </c>
      <c r="I676" s="17" t="s">
        <v>161</v>
      </c>
    </row>
    <row r="677" spans="1:9" x14ac:dyDescent="0.3">
      <c r="A677" s="18">
        <v>77</v>
      </c>
      <c r="B677" s="40">
        <v>45499</v>
      </c>
      <c r="C677" s="18" t="s">
        <v>451</v>
      </c>
      <c r="D677" s="18">
        <v>20</v>
      </c>
      <c r="E677" s="17">
        <v>7</v>
      </c>
      <c r="F677" s="17">
        <v>59</v>
      </c>
      <c r="G677" s="17">
        <v>104</v>
      </c>
      <c r="H677" s="23">
        <f t="shared" si="10"/>
        <v>0.56730769230769229</v>
      </c>
      <c r="I677" s="17" t="s">
        <v>109</v>
      </c>
    </row>
    <row r="678" spans="1:9" x14ac:dyDescent="0.3">
      <c r="A678" s="18">
        <v>77</v>
      </c>
      <c r="B678" s="40">
        <v>45499</v>
      </c>
      <c r="C678" s="18" t="s">
        <v>452</v>
      </c>
      <c r="D678" s="18">
        <v>21</v>
      </c>
      <c r="E678" s="17">
        <v>6</v>
      </c>
      <c r="F678" s="17">
        <v>28</v>
      </c>
      <c r="G678" s="17">
        <v>73</v>
      </c>
      <c r="H678" s="23">
        <f t="shared" si="10"/>
        <v>0.38356164383561642</v>
      </c>
      <c r="I678" s="17" t="s">
        <v>161</v>
      </c>
    </row>
    <row r="679" spans="1:9" x14ac:dyDescent="0.3">
      <c r="A679" s="18">
        <v>77</v>
      </c>
      <c r="B679" s="40">
        <v>45499</v>
      </c>
      <c r="C679" s="18" t="s">
        <v>453</v>
      </c>
      <c r="D679" s="18">
        <v>22</v>
      </c>
      <c r="E679" s="17">
        <v>1</v>
      </c>
      <c r="F679" s="17">
        <v>0</v>
      </c>
      <c r="G679" s="17">
        <v>5</v>
      </c>
      <c r="H679" s="23">
        <f t="shared" si="10"/>
        <v>0</v>
      </c>
      <c r="I679" s="17" t="s">
        <v>445</v>
      </c>
    </row>
    <row r="680" spans="1:9" x14ac:dyDescent="0.3">
      <c r="A680" s="18">
        <v>78</v>
      </c>
      <c r="B680" s="40">
        <v>45506</v>
      </c>
      <c r="C680" s="18" t="s">
        <v>125</v>
      </c>
      <c r="D680" s="18">
        <v>1</v>
      </c>
      <c r="E680" s="17">
        <v>173</v>
      </c>
      <c r="F680" s="17">
        <v>18433</v>
      </c>
      <c r="G680" s="17">
        <v>20547</v>
      </c>
      <c r="H680" s="23">
        <f t="shared" si="10"/>
        <v>0.89711393390762639</v>
      </c>
      <c r="I680" s="17" t="s">
        <v>131</v>
      </c>
    </row>
    <row r="681" spans="1:9" x14ac:dyDescent="0.3">
      <c r="A681" s="18">
        <v>78</v>
      </c>
      <c r="B681" s="40">
        <v>45506</v>
      </c>
      <c r="C681" s="18" t="s">
        <v>430</v>
      </c>
      <c r="D681" s="18">
        <v>2</v>
      </c>
      <c r="E681" s="17">
        <v>173</v>
      </c>
      <c r="F681" s="17">
        <v>12081</v>
      </c>
      <c r="G681" s="17">
        <v>10571</v>
      </c>
      <c r="H681" s="23">
        <f t="shared" si="10"/>
        <v>1.142843628795762</v>
      </c>
      <c r="I681" s="17" t="s">
        <v>131</v>
      </c>
    </row>
    <row r="682" spans="1:9" x14ac:dyDescent="0.3">
      <c r="A682" s="18">
        <v>78</v>
      </c>
      <c r="B682" s="40">
        <v>45506</v>
      </c>
      <c r="C682" s="18" t="s">
        <v>131</v>
      </c>
      <c r="D682" s="18">
        <v>3</v>
      </c>
      <c r="E682" s="17">
        <v>173</v>
      </c>
      <c r="F682" s="17">
        <v>19745</v>
      </c>
      <c r="G682" s="17">
        <v>14510</v>
      </c>
      <c r="H682" s="23">
        <f t="shared" si="10"/>
        <v>1.3607856650585803</v>
      </c>
      <c r="I682" s="17" t="s">
        <v>125</v>
      </c>
    </row>
    <row r="683" spans="1:9" x14ac:dyDescent="0.3">
      <c r="A683" s="18">
        <v>78</v>
      </c>
      <c r="B683" s="40">
        <v>45506</v>
      </c>
      <c r="C683" s="18" t="s">
        <v>337</v>
      </c>
      <c r="D683" s="18">
        <v>4</v>
      </c>
      <c r="E683" s="17">
        <v>158</v>
      </c>
      <c r="F683" s="17">
        <v>9103</v>
      </c>
      <c r="G683" s="17">
        <v>8612</v>
      </c>
      <c r="H683" s="23">
        <f t="shared" si="10"/>
        <v>1.0570134695773339</v>
      </c>
      <c r="I683" s="17" t="s">
        <v>125</v>
      </c>
    </row>
    <row r="684" spans="1:9" x14ac:dyDescent="0.3">
      <c r="A684" s="18">
        <v>78</v>
      </c>
      <c r="B684" s="40">
        <v>45506</v>
      </c>
      <c r="C684" s="18" t="s">
        <v>454</v>
      </c>
      <c r="D684" s="18">
        <v>5</v>
      </c>
      <c r="E684" s="17">
        <v>79</v>
      </c>
      <c r="F684" s="17">
        <v>5093</v>
      </c>
      <c r="G684" s="17">
        <v>6718</v>
      </c>
      <c r="H684" s="23">
        <f t="shared" si="10"/>
        <v>0.75811253349211072</v>
      </c>
      <c r="I684" s="17" t="s">
        <v>131</v>
      </c>
    </row>
    <row r="685" spans="1:9" x14ac:dyDescent="0.3">
      <c r="A685" s="18">
        <v>78</v>
      </c>
      <c r="B685" s="40">
        <v>45506</v>
      </c>
      <c r="C685" s="18" t="s">
        <v>437</v>
      </c>
      <c r="D685" s="18">
        <v>6</v>
      </c>
      <c r="E685" s="17">
        <v>73</v>
      </c>
      <c r="F685" s="17">
        <v>4041</v>
      </c>
      <c r="G685" s="17">
        <v>5319</v>
      </c>
      <c r="H685" s="23">
        <f t="shared" si="10"/>
        <v>0.75972927241962773</v>
      </c>
      <c r="I685" s="17" t="s">
        <v>455</v>
      </c>
    </row>
    <row r="686" spans="1:9" x14ac:dyDescent="0.3">
      <c r="A686" s="18">
        <v>78</v>
      </c>
      <c r="B686" s="40">
        <v>45506</v>
      </c>
      <c r="C686" s="18" t="s">
        <v>455</v>
      </c>
      <c r="D686" s="18">
        <v>7</v>
      </c>
      <c r="E686" s="17">
        <v>68</v>
      </c>
      <c r="F686" s="17">
        <v>2126</v>
      </c>
      <c r="G686" s="17">
        <v>1878</v>
      </c>
      <c r="H686" s="23">
        <f t="shared" si="10"/>
        <v>1.1320553780617679</v>
      </c>
      <c r="I686" s="17" t="s">
        <v>437</v>
      </c>
    </row>
    <row r="687" spans="1:9" x14ac:dyDescent="0.3">
      <c r="A687" s="18">
        <v>78</v>
      </c>
      <c r="B687" s="40">
        <v>45506</v>
      </c>
      <c r="C687" s="18" t="s">
        <v>445</v>
      </c>
      <c r="D687" s="18">
        <v>8</v>
      </c>
      <c r="E687" s="17">
        <v>62</v>
      </c>
      <c r="F687" s="17">
        <v>1241</v>
      </c>
      <c r="G687" s="17">
        <v>1801</v>
      </c>
      <c r="H687" s="23">
        <f t="shared" si="10"/>
        <v>0.68906163242642982</v>
      </c>
      <c r="I687" s="17" t="s">
        <v>430</v>
      </c>
    </row>
    <row r="688" spans="1:9" x14ac:dyDescent="0.3">
      <c r="A688" s="18">
        <v>78</v>
      </c>
      <c r="B688" s="40">
        <v>45506</v>
      </c>
      <c r="C688" s="18" t="s">
        <v>346</v>
      </c>
      <c r="D688" s="18">
        <v>9</v>
      </c>
      <c r="E688" s="17">
        <v>55</v>
      </c>
      <c r="F688" s="17">
        <v>685</v>
      </c>
      <c r="G688" s="17">
        <v>1711</v>
      </c>
      <c r="H688" s="23">
        <f t="shared" si="10"/>
        <v>0.40035067212156633</v>
      </c>
      <c r="I688" s="17" t="s">
        <v>454</v>
      </c>
    </row>
    <row r="689" spans="1:9" x14ac:dyDescent="0.3">
      <c r="A689" s="18">
        <v>78</v>
      </c>
      <c r="B689" s="40">
        <v>45506</v>
      </c>
      <c r="C689" s="18" t="s">
        <v>456</v>
      </c>
      <c r="D689" s="18">
        <v>10</v>
      </c>
      <c r="E689" s="17">
        <v>25</v>
      </c>
      <c r="F689" s="17">
        <v>304</v>
      </c>
      <c r="G689" s="17">
        <v>434</v>
      </c>
      <c r="H689" s="23">
        <f t="shared" si="10"/>
        <v>0.70046082949308752</v>
      </c>
      <c r="I689" s="17" t="s">
        <v>445</v>
      </c>
    </row>
    <row r="690" spans="1:9" x14ac:dyDescent="0.3">
      <c r="A690" s="18">
        <v>78</v>
      </c>
      <c r="B690" s="40">
        <v>45506</v>
      </c>
      <c r="C690" s="18" t="s">
        <v>428</v>
      </c>
      <c r="D690" s="18">
        <v>11</v>
      </c>
      <c r="E690" s="17">
        <v>17</v>
      </c>
      <c r="F690" s="17">
        <v>176</v>
      </c>
      <c r="G690" s="17">
        <v>203</v>
      </c>
      <c r="H690" s="23">
        <f t="shared" si="10"/>
        <v>0.86699507389162567</v>
      </c>
      <c r="I690" s="17" t="s">
        <v>125</v>
      </c>
    </row>
    <row r="691" spans="1:9" x14ac:dyDescent="0.3">
      <c r="A691" s="18">
        <v>78</v>
      </c>
      <c r="B691" s="40">
        <v>45506</v>
      </c>
      <c r="C691" s="18" t="s">
        <v>130</v>
      </c>
      <c r="D691" s="18">
        <v>12</v>
      </c>
      <c r="E691" s="17">
        <v>12</v>
      </c>
      <c r="F691" s="17">
        <v>215</v>
      </c>
      <c r="G691" s="17">
        <v>279</v>
      </c>
      <c r="H691" s="23">
        <f t="shared" si="10"/>
        <v>0.77060931899641572</v>
      </c>
      <c r="I691" s="17" t="s">
        <v>131</v>
      </c>
    </row>
    <row r="692" spans="1:9" x14ac:dyDescent="0.3">
      <c r="A692" s="18">
        <v>78</v>
      </c>
      <c r="B692" s="40">
        <v>45506</v>
      </c>
      <c r="C692" s="18" t="s">
        <v>282</v>
      </c>
      <c r="D692" s="18">
        <v>13</v>
      </c>
      <c r="E692" s="17">
        <v>11</v>
      </c>
      <c r="F692" s="17">
        <v>273</v>
      </c>
      <c r="G692" s="17">
        <v>314</v>
      </c>
      <c r="H692" s="23">
        <f t="shared" si="10"/>
        <v>0.86942675159235672</v>
      </c>
      <c r="I692" s="17" t="s">
        <v>454</v>
      </c>
    </row>
    <row r="693" spans="1:9" x14ac:dyDescent="0.3">
      <c r="A693" s="18">
        <v>78</v>
      </c>
      <c r="B693" s="40">
        <v>45506</v>
      </c>
      <c r="C693" s="18" t="s">
        <v>122</v>
      </c>
      <c r="D693" s="18">
        <v>14</v>
      </c>
      <c r="E693" s="17">
        <v>10</v>
      </c>
      <c r="F693" s="17">
        <v>101</v>
      </c>
      <c r="G693" s="17">
        <v>151</v>
      </c>
      <c r="H693" s="23">
        <f t="shared" si="10"/>
        <v>0.66887417218543044</v>
      </c>
      <c r="I693" s="17" t="s">
        <v>428</v>
      </c>
    </row>
    <row r="694" spans="1:9" x14ac:dyDescent="0.3">
      <c r="A694" s="18">
        <v>78</v>
      </c>
      <c r="B694" s="40">
        <v>45506</v>
      </c>
      <c r="C694" s="18" t="s">
        <v>457</v>
      </c>
      <c r="D694" s="18">
        <v>15</v>
      </c>
      <c r="E694" s="17">
        <v>10</v>
      </c>
      <c r="F694" s="17">
        <v>150</v>
      </c>
      <c r="G694" s="17">
        <v>183</v>
      </c>
      <c r="H694" s="23">
        <f t="shared" si="10"/>
        <v>0.81967213114754101</v>
      </c>
      <c r="I694" s="17" t="s">
        <v>423</v>
      </c>
    </row>
    <row r="695" spans="1:9" x14ac:dyDescent="0.3">
      <c r="A695" s="18">
        <v>78</v>
      </c>
      <c r="B695" s="40">
        <v>45506</v>
      </c>
      <c r="C695" s="18" t="s">
        <v>451</v>
      </c>
      <c r="D695" s="18">
        <v>16</v>
      </c>
      <c r="E695" s="17">
        <v>9</v>
      </c>
      <c r="F695" s="17">
        <v>70</v>
      </c>
      <c r="G695" s="17">
        <v>105</v>
      </c>
      <c r="H695" s="23">
        <f t="shared" si="10"/>
        <v>0.66666666666666663</v>
      </c>
      <c r="I695" s="17" t="s">
        <v>282</v>
      </c>
    </row>
    <row r="696" spans="1:9" x14ac:dyDescent="0.3">
      <c r="A696" s="18">
        <v>78</v>
      </c>
      <c r="B696" s="40">
        <v>45506</v>
      </c>
      <c r="C696" s="18" t="s">
        <v>423</v>
      </c>
      <c r="D696" s="18">
        <v>17</v>
      </c>
      <c r="E696" s="17">
        <v>9</v>
      </c>
      <c r="F696" s="17">
        <v>132</v>
      </c>
      <c r="G696" s="17">
        <v>161</v>
      </c>
      <c r="H696" s="23">
        <f t="shared" si="10"/>
        <v>0.81987577639751552</v>
      </c>
      <c r="I696" s="17" t="s">
        <v>457</v>
      </c>
    </row>
    <row r="697" spans="1:9" x14ac:dyDescent="0.3">
      <c r="A697" s="18">
        <v>78</v>
      </c>
      <c r="B697" s="40">
        <v>45506</v>
      </c>
      <c r="C697" s="18" t="s">
        <v>172</v>
      </c>
      <c r="D697" s="18">
        <v>18</v>
      </c>
      <c r="E697" s="17">
        <v>7</v>
      </c>
      <c r="F697" s="17">
        <v>32</v>
      </c>
      <c r="G697" s="17">
        <v>56</v>
      </c>
      <c r="H697" s="23">
        <f t="shared" si="10"/>
        <v>0.5714285714285714</v>
      </c>
      <c r="I697" s="17" t="s">
        <v>130</v>
      </c>
    </row>
    <row r="698" spans="1:9" x14ac:dyDescent="0.3">
      <c r="A698" s="18">
        <v>78</v>
      </c>
      <c r="B698" s="40">
        <v>45506</v>
      </c>
      <c r="C698" s="18" t="s">
        <v>396</v>
      </c>
      <c r="D698" s="18">
        <v>19</v>
      </c>
      <c r="E698" s="17">
        <v>6</v>
      </c>
      <c r="F698" s="17">
        <v>36</v>
      </c>
      <c r="G698" s="17">
        <v>54</v>
      </c>
      <c r="H698" s="23">
        <f t="shared" si="10"/>
        <v>0.66666666666666663</v>
      </c>
      <c r="I698" s="17" t="s">
        <v>437</v>
      </c>
    </row>
    <row r="699" spans="1:9" x14ac:dyDescent="0.3">
      <c r="A699" s="18">
        <v>78</v>
      </c>
      <c r="B699" s="40">
        <v>45506</v>
      </c>
      <c r="C699" s="18" t="s">
        <v>458</v>
      </c>
      <c r="D699" s="18">
        <v>20</v>
      </c>
      <c r="E699" s="17">
        <v>6</v>
      </c>
      <c r="F699" s="17">
        <v>54</v>
      </c>
      <c r="G699" s="17">
        <v>78</v>
      </c>
      <c r="H699" s="23">
        <f t="shared" si="10"/>
        <v>0.69230769230769229</v>
      </c>
      <c r="I699" s="17" t="s">
        <v>423</v>
      </c>
    </row>
    <row r="700" spans="1:9" x14ac:dyDescent="0.3">
      <c r="A700" s="18">
        <v>78</v>
      </c>
      <c r="B700" s="40">
        <v>45506</v>
      </c>
      <c r="C700" s="18" t="s">
        <v>164</v>
      </c>
      <c r="D700" s="18">
        <v>21</v>
      </c>
      <c r="E700" s="17">
        <v>4</v>
      </c>
      <c r="F700" s="17">
        <v>28</v>
      </c>
      <c r="G700" s="17">
        <v>46</v>
      </c>
      <c r="H700" s="23">
        <f t="shared" si="10"/>
        <v>0.60869565217391308</v>
      </c>
      <c r="I700" s="17" t="s">
        <v>445</v>
      </c>
    </row>
    <row r="701" spans="1:9" x14ac:dyDescent="0.3">
      <c r="A701" s="18">
        <v>78</v>
      </c>
      <c r="B701" s="40">
        <v>45506</v>
      </c>
      <c r="C701" s="18" t="s">
        <v>459</v>
      </c>
      <c r="D701" s="18">
        <v>22</v>
      </c>
      <c r="E701" s="17">
        <v>3</v>
      </c>
      <c r="F701" s="17">
        <v>8</v>
      </c>
      <c r="G701" s="17">
        <v>17</v>
      </c>
      <c r="H701" s="23">
        <f t="shared" si="10"/>
        <v>0.47058823529411764</v>
      </c>
      <c r="I701" s="17" t="s">
        <v>423</v>
      </c>
    </row>
    <row r="702" spans="1:9" x14ac:dyDescent="0.3">
      <c r="A702" s="18">
        <v>79</v>
      </c>
      <c r="B702" s="40">
        <v>45513</v>
      </c>
      <c r="C702" s="18" t="s">
        <v>157</v>
      </c>
      <c r="D702" s="18">
        <v>1</v>
      </c>
      <c r="E702" s="17">
        <v>121</v>
      </c>
      <c r="F702" s="17">
        <v>16067</v>
      </c>
      <c r="G702" s="17">
        <v>13392</v>
      </c>
      <c r="H702" s="23">
        <f t="shared" si="10"/>
        <v>1.1997461170848267</v>
      </c>
      <c r="I702" s="17" t="s">
        <v>278</v>
      </c>
    </row>
    <row r="703" spans="1:9" x14ac:dyDescent="0.3">
      <c r="A703" s="18">
        <v>79</v>
      </c>
      <c r="B703" s="40">
        <v>45513</v>
      </c>
      <c r="C703" s="18" t="s">
        <v>278</v>
      </c>
      <c r="D703" s="18">
        <v>2</v>
      </c>
      <c r="E703" s="17">
        <v>121</v>
      </c>
      <c r="F703" s="17">
        <v>10048</v>
      </c>
      <c r="G703" s="17">
        <v>13392</v>
      </c>
      <c r="H703" s="23">
        <f t="shared" si="10"/>
        <v>0.75029868578255676</v>
      </c>
      <c r="I703" s="17" t="s">
        <v>105</v>
      </c>
    </row>
    <row r="704" spans="1:9" x14ac:dyDescent="0.3">
      <c r="A704" s="18">
        <v>79</v>
      </c>
      <c r="B704" s="40">
        <v>45513</v>
      </c>
      <c r="C704" s="18" t="s">
        <v>445</v>
      </c>
      <c r="D704" s="18">
        <v>3</v>
      </c>
      <c r="E704" s="17">
        <v>121</v>
      </c>
      <c r="F704" s="17">
        <v>7299</v>
      </c>
      <c r="G704" s="17">
        <v>7439</v>
      </c>
      <c r="H704" s="23">
        <f t="shared" si="10"/>
        <v>0.98118026616480714</v>
      </c>
      <c r="I704" s="17" t="s">
        <v>105</v>
      </c>
    </row>
    <row r="705" spans="1:9" x14ac:dyDescent="0.3">
      <c r="A705" s="18">
        <v>79</v>
      </c>
      <c r="B705" s="40">
        <v>45513</v>
      </c>
      <c r="C705" s="18" t="s">
        <v>276</v>
      </c>
      <c r="D705" s="18">
        <v>4</v>
      </c>
      <c r="E705" s="17">
        <v>107</v>
      </c>
      <c r="F705" s="17">
        <v>8286</v>
      </c>
      <c r="G705" s="17">
        <v>8017</v>
      </c>
      <c r="H705" s="23">
        <f t="shared" si="10"/>
        <v>1.0335536983909193</v>
      </c>
      <c r="I705" s="17" t="s">
        <v>105</v>
      </c>
    </row>
    <row r="706" spans="1:9" x14ac:dyDescent="0.3">
      <c r="A706" s="18">
        <v>79</v>
      </c>
      <c r="B706" s="40">
        <v>45513</v>
      </c>
      <c r="C706" s="18" t="s">
        <v>142</v>
      </c>
      <c r="D706" s="18">
        <v>5</v>
      </c>
      <c r="E706" s="17">
        <v>84</v>
      </c>
      <c r="F706" s="17">
        <v>4646</v>
      </c>
      <c r="G706" s="17">
        <v>4631</v>
      </c>
      <c r="H706" s="23">
        <f t="shared" ref="H706:H769" si="11">F706/G706</f>
        <v>1.0032390412437919</v>
      </c>
      <c r="I706" s="17" t="s">
        <v>276</v>
      </c>
    </row>
    <row r="707" spans="1:9" x14ac:dyDescent="0.3">
      <c r="A707" s="18">
        <v>79</v>
      </c>
      <c r="B707" s="40">
        <v>45513</v>
      </c>
      <c r="C707" s="18" t="s">
        <v>329</v>
      </c>
      <c r="D707" s="18">
        <v>6</v>
      </c>
      <c r="E707" s="17">
        <v>60</v>
      </c>
      <c r="F707" s="17">
        <v>616</v>
      </c>
      <c r="G707" s="17">
        <v>886</v>
      </c>
      <c r="H707" s="23">
        <f t="shared" si="11"/>
        <v>0.69525959367945822</v>
      </c>
      <c r="I707" s="17" t="s">
        <v>276</v>
      </c>
    </row>
    <row r="708" spans="1:9" x14ac:dyDescent="0.3">
      <c r="A708" s="18">
        <v>79</v>
      </c>
      <c r="B708" s="40">
        <v>45513</v>
      </c>
      <c r="C708" s="18" t="s">
        <v>125</v>
      </c>
      <c r="D708" s="18">
        <v>7</v>
      </c>
      <c r="E708" s="17">
        <v>57</v>
      </c>
      <c r="F708" s="17">
        <v>619</v>
      </c>
      <c r="G708" s="17">
        <v>895</v>
      </c>
      <c r="H708" s="23">
        <f t="shared" si="11"/>
        <v>0.69162011173184357</v>
      </c>
      <c r="I708" s="17" t="s">
        <v>142</v>
      </c>
    </row>
    <row r="709" spans="1:9" x14ac:dyDescent="0.3">
      <c r="A709" s="18">
        <v>79</v>
      </c>
      <c r="B709" s="40">
        <v>45513</v>
      </c>
      <c r="C709" s="18" t="s">
        <v>113</v>
      </c>
      <c r="D709" s="18">
        <v>8</v>
      </c>
      <c r="E709" s="17">
        <v>52</v>
      </c>
      <c r="F709" s="17">
        <v>2040</v>
      </c>
      <c r="G709" s="17">
        <v>2906</v>
      </c>
      <c r="H709" s="23">
        <f t="shared" si="11"/>
        <v>0.70199587061252577</v>
      </c>
      <c r="I709" s="17" t="s">
        <v>445</v>
      </c>
    </row>
    <row r="710" spans="1:9" x14ac:dyDescent="0.3">
      <c r="A710" s="18">
        <v>79</v>
      </c>
      <c r="B710" s="40">
        <v>45513</v>
      </c>
      <c r="C710" s="18" t="s">
        <v>164</v>
      </c>
      <c r="D710" s="18">
        <v>9</v>
      </c>
      <c r="E710" s="17">
        <v>22</v>
      </c>
      <c r="F710" s="17">
        <v>176</v>
      </c>
      <c r="G710" s="17">
        <v>354</v>
      </c>
      <c r="H710" s="23">
        <f t="shared" si="11"/>
        <v>0.49717514124293788</v>
      </c>
      <c r="I710" s="17" t="s">
        <v>329</v>
      </c>
    </row>
    <row r="711" spans="1:9" x14ac:dyDescent="0.3">
      <c r="A711" s="18">
        <v>79</v>
      </c>
      <c r="B711" s="40">
        <v>45513</v>
      </c>
      <c r="C711" s="18" t="s">
        <v>456</v>
      </c>
      <c r="D711" s="18">
        <v>10</v>
      </c>
      <c r="E711" s="17">
        <v>20</v>
      </c>
      <c r="F711" s="17">
        <v>115</v>
      </c>
      <c r="G711" s="17">
        <v>102</v>
      </c>
      <c r="H711" s="23">
        <f t="shared" si="11"/>
        <v>1.1274509803921569</v>
      </c>
      <c r="I711" s="17" t="s">
        <v>105</v>
      </c>
    </row>
    <row r="712" spans="1:9" x14ac:dyDescent="0.3">
      <c r="A712" s="18">
        <v>79</v>
      </c>
      <c r="B712" s="40">
        <v>45513</v>
      </c>
      <c r="C712" s="18" t="s">
        <v>458</v>
      </c>
      <c r="D712" s="18">
        <v>11</v>
      </c>
      <c r="E712" s="17">
        <v>18</v>
      </c>
      <c r="F712" s="17">
        <v>187</v>
      </c>
      <c r="G712" s="17">
        <v>374</v>
      </c>
      <c r="H712" s="23">
        <f t="shared" si="11"/>
        <v>0.5</v>
      </c>
      <c r="I712" s="17" t="s">
        <v>142</v>
      </c>
    </row>
    <row r="713" spans="1:9" x14ac:dyDescent="0.3">
      <c r="A713" s="18">
        <v>79</v>
      </c>
      <c r="B713" s="40">
        <v>45513</v>
      </c>
      <c r="C713" s="18" t="s">
        <v>235</v>
      </c>
      <c r="D713" s="18">
        <v>12</v>
      </c>
      <c r="E713" s="17">
        <v>10</v>
      </c>
      <c r="F713" s="17">
        <v>48</v>
      </c>
      <c r="G713" s="17">
        <v>79</v>
      </c>
      <c r="H713" s="23">
        <f t="shared" si="11"/>
        <v>0.60759493670886078</v>
      </c>
      <c r="I713" s="17" t="s">
        <v>113</v>
      </c>
    </row>
    <row r="714" spans="1:9" x14ac:dyDescent="0.3">
      <c r="A714" s="18">
        <v>79</v>
      </c>
      <c r="B714" s="40">
        <v>45513</v>
      </c>
      <c r="C714" s="18" t="s">
        <v>122</v>
      </c>
      <c r="D714" s="18">
        <v>13</v>
      </c>
      <c r="E714" s="17">
        <v>10</v>
      </c>
      <c r="F714" s="17">
        <v>118</v>
      </c>
      <c r="G714" s="17">
        <v>171</v>
      </c>
      <c r="H714" s="23">
        <f t="shared" si="11"/>
        <v>0.6900584795321637</v>
      </c>
      <c r="I714" s="17" t="s">
        <v>105</v>
      </c>
    </row>
    <row r="715" spans="1:9" x14ac:dyDescent="0.3">
      <c r="A715" s="18">
        <v>79</v>
      </c>
      <c r="B715" s="40">
        <v>45513</v>
      </c>
      <c r="C715" s="18" t="s">
        <v>377</v>
      </c>
      <c r="D715" s="18">
        <v>14</v>
      </c>
      <c r="E715" s="17">
        <v>10</v>
      </c>
      <c r="F715" s="17">
        <v>44</v>
      </c>
      <c r="G715" s="17">
        <v>88</v>
      </c>
      <c r="H715" s="23">
        <f t="shared" si="11"/>
        <v>0.5</v>
      </c>
      <c r="I715" s="17" t="s">
        <v>445</v>
      </c>
    </row>
    <row r="716" spans="1:9" x14ac:dyDescent="0.3">
      <c r="A716" s="18">
        <v>79</v>
      </c>
      <c r="B716" s="40">
        <v>45513</v>
      </c>
      <c r="C716" s="18" t="s">
        <v>437</v>
      </c>
      <c r="D716" s="18">
        <v>15</v>
      </c>
      <c r="E716" s="17">
        <v>9</v>
      </c>
      <c r="F716" s="17">
        <v>30</v>
      </c>
      <c r="G716" s="17">
        <v>65</v>
      </c>
      <c r="H716" s="23">
        <f t="shared" si="11"/>
        <v>0.46153846153846156</v>
      </c>
      <c r="I716" s="17" t="s">
        <v>276</v>
      </c>
    </row>
    <row r="717" spans="1:9" x14ac:dyDescent="0.3">
      <c r="A717" s="18">
        <v>79</v>
      </c>
      <c r="B717" s="40">
        <v>45513</v>
      </c>
      <c r="C717" s="18" t="s">
        <v>460</v>
      </c>
      <c r="D717" s="18">
        <v>16</v>
      </c>
      <c r="E717" s="17">
        <v>8</v>
      </c>
      <c r="F717" s="17">
        <v>108</v>
      </c>
      <c r="G717" s="17">
        <v>95</v>
      </c>
      <c r="H717" s="23">
        <f t="shared" si="11"/>
        <v>1.1368421052631579</v>
      </c>
      <c r="I717" s="17" t="s">
        <v>278</v>
      </c>
    </row>
    <row r="718" spans="1:9" x14ac:dyDescent="0.3">
      <c r="A718" s="18">
        <v>79</v>
      </c>
      <c r="B718" s="40">
        <v>45513</v>
      </c>
      <c r="C718" s="18" t="s">
        <v>451</v>
      </c>
      <c r="D718" s="18">
        <v>17</v>
      </c>
      <c r="E718" s="17">
        <v>8</v>
      </c>
      <c r="F718" s="17">
        <v>41</v>
      </c>
      <c r="G718" s="17">
        <v>82</v>
      </c>
      <c r="H718" s="23">
        <f t="shared" si="11"/>
        <v>0.5</v>
      </c>
      <c r="I718" s="17" t="s">
        <v>164</v>
      </c>
    </row>
    <row r="719" spans="1:9" x14ac:dyDescent="0.3">
      <c r="A719" s="18">
        <v>79</v>
      </c>
      <c r="B719" s="40">
        <v>45513</v>
      </c>
      <c r="C719" s="18" t="s">
        <v>461</v>
      </c>
      <c r="D719" s="18">
        <v>18</v>
      </c>
      <c r="E719" s="17">
        <v>8</v>
      </c>
      <c r="F719" s="17">
        <v>136</v>
      </c>
      <c r="G719" s="17">
        <v>191</v>
      </c>
      <c r="H719" s="23">
        <f t="shared" si="11"/>
        <v>0.7120418848167539</v>
      </c>
      <c r="I719" s="17" t="s">
        <v>113</v>
      </c>
    </row>
    <row r="720" spans="1:9" x14ac:dyDescent="0.3">
      <c r="A720" s="18">
        <v>79</v>
      </c>
      <c r="B720" s="40">
        <v>45513</v>
      </c>
      <c r="C720" s="18" t="s">
        <v>462</v>
      </c>
      <c r="D720" s="18">
        <v>19</v>
      </c>
      <c r="E720" s="17">
        <v>7</v>
      </c>
      <c r="F720" s="17">
        <v>23</v>
      </c>
      <c r="G720" s="17">
        <v>34</v>
      </c>
      <c r="H720" s="23">
        <f t="shared" si="11"/>
        <v>0.67647058823529416</v>
      </c>
      <c r="I720" s="17" t="s">
        <v>282</v>
      </c>
    </row>
    <row r="721" spans="1:9" x14ac:dyDescent="0.3">
      <c r="A721" s="18">
        <v>79</v>
      </c>
      <c r="B721" s="40">
        <v>45513</v>
      </c>
      <c r="C721" s="18" t="s">
        <v>463</v>
      </c>
      <c r="D721" s="18">
        <v>20</v>
      </c>
      <c r="E721" s="17">
        <v>6</v>
      </c>
      <c r="F721" s="17">
        <v>40</v>
      </c>
      <c r="G721" s="17">
        <v>69</v>
      </c>
      <c r="H721" s="23">
        <f t="shared" si="11"/>
        <v>0.57971014492753625</v>
      </c>
      <c r="I721" s="17" t="s">
        <v>282</v>
      </c>
    </row>
    <row r="722" spans="1:9" x14ac:dyDescent="0.3">
      <c r="A722" s="18">
        <v>79</v>
      </c>
      <c r="B722" s="40">
        <v>45513</v>
      </c>
      <c r="C722" s="18" t="s">
        <v>131</v>
      </c>
      <c r="D722" s="18">
        <v>21</v>
      </c>
      <c r="E722" s="17">
        <v>6</v>
      </c>
      <c r="F722" s="17">
        <v>43</v>
      </c>
      <c r="G722" s="17">
        <v>62</v>
      </c>
      <c r="H722" s="23">
        <f t="shared" si="11"/>
        <v>0.69354838709677424</v>
      </c>
      <c r="I722" s="17" t="s">
        <v>122</v>
      </c>
    </row>
    <row r="723" spans="1:9" x14ac:dyDescent="0.3">
      <c r="A723" s="18">
        <v>79</v>
      </c>
      <c r="B723" s="40">
        <v>45513</v>
      </c>
      <c r="C723" s="18" t="s">
        <v>452</v>
      </c>
      <c r="D723" s="18">
        <v>22</v>
      </c>
      <c r="E723" s="17">
        <v>4</v>
      </c>
      <c r="F723" s="17">
        <v>18</v>
      </c>
      <c r="G723" s="17">
        <v>39</v>
      </c>
      <c r="H723" s="23">
        <f t="shared" si="11"/>
        <v>0.46153846153846156</v>
      </c>
      <c r="I723" s="17" t="s">
        <v>164</v>
      </c>
    </row>
    <row r="724" spans="1:9" x14ac:dyDescent="0.3">
      <c r="A724" s="18">
        <v>80</v>
      </c>
      <c r="B724" s="40">
        <v>45520</v>
      </c>
      <c r="C724" s="18" t="s">
        <v>344</v>
      </c>
      <c r="D724" s="18">
        <v>1</v>
      </c>
      <c r="E724" s="17">
        <v>205</v>
      </c>
      <c r="F724" s="17">
        <v>12862</v>
      </c>
      <c r="G724" s="17">
        <v>12087</v>
      </c>
      <c r="H724" s="23">
        <f t="shared" si="11"/>
        <v>1.0641184743939771</v>
      </c>
      <c r="I724" s="17" t="s">
        <v>217</v>
      </c>
    </row>
    <row r="725" spans="1:9" x14ac:dyDescent="0.3">
      <c r="A725" s="18">
        <v>80</v>
      </c>
      <c r="B725" s="40">
        <v>45520</v>
      </c>
      <c r="C725" s="18" t="s">
        <v>276</v>
      </c>
      <c r="D725" s="18">
        <v>2</v>
      </c>
      <c r="E725" s="17">
        <v>205</v>
      </c>
      <c r="F725" s="17">
        <v>24370</v>
      </c>
      <c r="G725" s="17">
        <v>22692</v>
      </c>
      <c r="H725" s="23">
        <f t="shared" si="11"/>
        <v>1.0739467653798696</v>
      </c>
      <c r="I725" s="17" t="s">
        <v>187</v>
      </c>
    </row>
    <row r="726" spans="1:9" x14ac:dyDescent="0.3">
      <c r="A726" s="18">
        <v>80</v>
      </c>
      <c r="B726" s="40">
        <v>45520</v>
      </c>
      <c r="C726" s="18" t="s">
        <v>457</v>
      </c>
      <c r="D726" s="18">
        <v>3</v>
      </c>
      <c r="E726" s="17">
        <v>205</v>
      </c>
      <c r="F726" s="17">
        <v>19324</v>
      </c>
      <c r="G726" s="17">
        <v>15159</v>
      </c>
      <c r="H726" s="23">
        <f t="shared" si="11"/>
        <v>1.2747542713899334</v>
      </c>
      <c r="I726" s="17" t="s">
        <v>276</v>
      </c>
    </row>
    <row r="727" spans="1:9" x14ac:dyDescent="0.3">
      <c r="A727" s="18">
        <v>80</v>
      </c>
      <c r="B727" s="40">
        <v>45520</v>
      </c>
      <c r="C727" s="18" t="s">
        <v>217</v>
      </c>
      <c r="D727" s="18">
        <v>4</v>
      </c>
      <c r="E727" s="17">
        <v>205</v>
      </c>
      <c r="F727" s="17">
        <v>10703</v>
      </c>
      <c r="G727" s="17">
        <v>10302</v>
      </c>
      <c r="H727" s="23">
        <f t="shared" si="11"/>
        <v>1.0389244806833624</v>
      </c>
      <c r="I727" s="17" t="s">
        <v>344</v>
      </c>
    </row>
    <row r="728" spans="1:9" x14ac:dyDescent="0.3">
      <c r="A728" s="18">
        <v>80</v>
      </c>
      <c r="B728" s="40">
        <v>45520</v>
      </c>
      <c r="C728" s="18" t="s">
        <v>368</v>
      </c>
      <c r="D728" s="18">
        <v>5</v>
      </c>
      <c r="E728" s="17">
        <v>199</v>
      </c>
      <c r="F728" s="17">
        <v>10192</v>
      </c>
      <c r="G728" s="17">
        <v>10015</v>
      </c>
      <c r="H728" s="23">
        <f t="shared" si="11"/>
        <v>1.0176734897653519</v>
      </c>
      <c r="I728" s="17" t="s">
        <v>187</v>
      </c>
    </row>
    <row r="729" spans="1:9" x14ac:dyDescent="0.3">
      <c r="A729" s="18">
        <v>80</v>
      </c>
      <c r="B729" s="40">
        <v>45520</v>
      </c>
      <c r="C729" s="18" t="s">
        <v>206</v>
      </c>
      <c r="D729" s="18">
        <v>6</v>
      </c>
      <c r="E729" s="17">
        <v>137</v>
      </c>
      <c r="F729" s="17">
        <v>7801</v>
      </c>
      <c r="G729" s="17">
        <v>9133</v>
      </c>
      <c r="H729" s="23">
        <f t="shared" si="11"/>
        <v>0.85415526114091755</v>
      </c>
      <c r="I729" s="17" t="s">
        <v>344</v>
      </c>
    </row>
    <row r="730" spans="1:9" x14ac:dyDescent="0.3">
      <c r="A730" s="18">
        <v>80</v>
      </c>
      <c r="B730" s="40">
        <v>45520</v>
      </c>
      <c r="C730" s="18" t="s">
        <v>343</v>
      </c>
      <c r="D730" s="18">
        <v>7</v>
      </c>
      <c r="E730" s="17">
        <v>93</v>
      </c>
      <c r="F730" s="17">
        <v>2349</v>
      </c>
      <c r="G730" s="17">
        <v>4115</v>
      </c>
      <c r="H730" s="23">
        <f t="shared" si="11"/>
        <v>0.57083839611178611</v>
      </c>
      <c r="I730" s="17" t="s">
        <v>276</v>
      </c>
    </row>
    <row r="731" spans="1:9" x14ac:dyDescent="0.3">
      <c r="A731" s="18">
        <v>80</v>
      </c>
      <c r="B731" s="40">
        <v>45520</v>
      </c>
      <c r="C731" s="18" t="s">
        <v>131</v>
      </c>
      <c r="D731" s="18">
        <v>8</v>
      </c>
      <c r="E731" s="17">
        <v>83</v>
      </c>
      <c r="F731" s="17">
        <v>1478</v>
      </c>
      <c r="G731" s="17">
        <v>2167</v>
      </c>
      <c r="H731" s="23">
        <f t="shared" si="11"/>
        <v>0.68204891555145364</v>
      </c>
      <c r="I731" s="17" t="s">
        <v>344</v>
      </c>
    </row>
    <row r="732" spans="1:9" x14ac:dyDescent="0.3">
      <c r="A732" s="18">
        <v>80</v>
      </c>
      <c r="B732" s="40">
        <v>45520</v>
      </c>
      <c r="C732" s="18" t="s">
        <v>406</v>
      </c>
      <c r="D732" s="18">
        <v>9</v>
      </c>
      <c r="E732" s="17">
        <v>60</v>
      </c>
      <c r="F732" s="17">
        <v>219</v>
      </c>
      <c r="G732" s="17">
        <v>607</v>
      </c>
      <c r="H732" s="23">
        <f t="shared" si="11"/>
        <v>0.36079077429983525</v>
      </c>
      <c r="I732" s="17" t="s">
        <v>343</v>
      </c>
    </row>
    <row r="733" spans="1:9" x14ac:dyDescent="0.3">
      <c r="A733" s="18">
        <v>80</v>
      </c>
      <c r="B733" s="40">
        <v>45520</v>
      </c>
      <c r="C733" s="18" t="s">
        <v>437</v>
      </c>
      <c r="D733" s="18">
        <v>10</v>
      </c>
      <c r="E733" s="17">
        <v>53</v>
      </c>
      <c r="F733" s="17">
        <v>1359</v>
      </c>
      <c r="G733" s="17">
        <v>2435</v>
      </c>
      <c r="H733" s="23">
        <f t="shared" si="11"/>
        <v>0.55811088295687883</v>
      </c>
      <c r="I733" s="17" t="s">
        <v>276</v>
      </c>
    </row>
    <row r="734" spans="1:9" x14ac:dyDescent="0.3">
      <c r="A734" s="18">
        <v>80</v>
      </c>
      <c r="B734" s="40">
        <v>45520</v>
      </c>
      <c r="C734" s="18" t="s">
        <v>115</v>
      </c>
      <c r="D734" s="18">
        <v>11</v>
      </c>
      <c r="E734" s="17">
        <v>26</v>
      </c>
      <c r="F734" s="17">
        <v>348</v>
      </c>
      <c r="G734" s="17">
        <v>669</v>
      </c>
      <c r="H734" s="23">
        <f t="shared" si="11"/>
        <v>0.52017937219730936</v>
      </c>
      <c r="I734" s="17" t="s">
        <v>131</v>
      </c>
    </row>
    <row r="735" spans="1:9" x14ac:dyDescent="0.3">
      <c r="A735" s="18">
        <v>80</v>
      </c>
      <c r="B735" s="40">
        <v>45520</v>
      </c>
      <c r="C735" s="18" t="s">
        <v>463</v>
      </c>
      <c r="D735" s="18">
        <v>12</v>
      </c>
      <c r="E735" s="17">
        <v>20</v>
      </c>
      <c r="F735" s="17">
        <v>102</v>
      </c>
      <c r="G735" s="17">
        <v>350</v>
      </c>
      <c r="H735" s="23">
        <f t="shared" si="11"/>
        <v>0.29142857142857143</v>
      </c>
      <c r="I735" s="17" t="s">
        <v>206</v>
      </c>
    </row>
    <row r="736" spans="1:9" x14ac:dyDescent="0.3">
      <c r="A736" s="18">
        <v>80</v>
      </c>
      <c r="B736" s="40">
        <v>45520</v>
      </c>
      <c r="C736" s="18" t="s">
        <v>105</v>
      </c>
      <c r="D736" s="18">
        <v>13</v>
      </c>
      <c r="E736" s="17">
        <v>19</v>
      </c>
      <c r="F736" s="17">
        <v>150</v>
      </c>
      <c r="G736" s="17">
        <v>242</v>
      </c>
      <c r="H736" s="23">
        <f t="shared" si="11"/>
        <v>0.6198347107438017</v>
      </c>
      <c r="I736" s="17" t="s">
        <v>217</v>
      </c>
    </row>
    <row r="737" spans="1:9" x14ac:dyDescent="0.3">
      <c r="A737" s="18">
        <v>80</v>
      </c>
      <c r="B737" s="40">
        <v>45520</v>
      </c>
      <c r="C737" s="18" t="s">
        <v>337</v>
      </c>
      <c r="D737" s="18">
        <v>14</v>
      </c>
      <c r="E737" s="17">
        <v>19</v>
      </c>
      <c r="F737" s="17">
        <v>46</v>
      </c>
      <c r="G737" s="17">
        <v>137</v>
      </c>
      <c r="H737" s="23">
        <f t="shared" si="11"/>
        <v>0.33576642335766421</v>
      </c>
      <c r="I737" s="17" t="s">
        <v>457</v>
      </c>
    </row>
    <row r="738" spans="1:9" x14ac:dyDescent="0.3">
      <c r="A738" s="18">
        <v>80</v>
      </c>
      <c r="B738" s="40">
        <v>45520</v>
      </c>
      <c r="C738" s="18" t="s">
        <v>464</v>
      </c>
      <c r="D738" s="18">
        <v>15</v>
      </c>
      <c r="E738" s="17">
        <v>15</v>
      </c>
      <c r="F738" s="17">
        <v>191</v>
      </c>
      <c r="G738" s="17">
        <v>286</v>
      </c>
      <c r="H738" s="23">
        <f t="shared" si="11"/>
        <v>0.66783216783216781</v>
      </c>
      <c r="I738" s="17" t="s">
        <v>125</v>
      </c>
    </row>
    <row r="739" spans="1:9" x14ac:dyDescent="0.3">
      <c r="A739" s="18">
        <v>80</v>
      </c>
      <c r="B739" s="40">
        <v>45520</v>
      </c>
      <c r="C739" s="18" t="s">
        <v>421</v>
      </c>
      <c r="D739" s="18">
        <v>16</v>
      </c>
      <c r="E739" s="17">
        <v>13</v>
      </c>
      <c r="F739" s="17">
        <v>101</v>
      </c>
      <c r="G739" s="17">
        <v>156</v>
      </c>
      <c r="H739" s="23">
        <f t="shared" si="11"/>
        <v>0.64743589743589747</v>
      </c>
      <c r="I739" s="17" t="s">
        <v>131</v>
      </c>
    </row>
    <row r="740" spans="1:9" x14ac:dyDescent="0.3">
      <c r="A740" s="18">
        <v>80</v>
      </c>
      <c r="B740" s="40">
        <v>45520</v>
      </c>
      <c r="C740" s="18" t="s">
        <v>465</v>
      </c>
      <c r="D740" s="18">
        <v>17</v>
      </c>
      <c r="E740" s="17">
        <v>12</v>
      </c>
      <c r="F740" s="17">
        <v>79</v>
      </c>
      <c r="G740" s="17">
        <v>61</v>
      </c>
      <c r="H740" s="23">
        <f t="shared" si="11"/>
        <v>1.2950819672131149</v>
      </c>
      <c r="I740" s="17" t="s">
        <v>206</v>
      </c>
    </row>
    <row r="741" spans="1:9" x14ac:dyDescent="0.3">
      <c r="A741" s="18">
        <v>80</v>
      </c>
      <c r="B741" s="40">
        <v>45520</v>
      </c>
      <c r="C741" s="18" t="s">
        <v>125</v>
      </c>
      <c r="D741" s="18">
        <v>18</v>
      </c>
      <c r="E741" s="17">
        <v>11</v>
      </c>
      <c r="F741" s="17">
        <v>199</v>
      </c>
      <c r="G741" s="17">
        <v>235</v>
      </c>
      <c r="H741" s="23">
        <f t="shared" si="11"/>
        <v>0.84680851063829787</v>
      </c>
      <c r="I741" s="17" t="s">
        <v>464</v>
      </c>
    </row>
    <row r="742" spans="1:9" x14ac:dyDescent="0.3">
      <c r="A742" s="18">
        <v>80</v>
      </c>
      <c r="B742" s="40">
        <v>45520</v>
      </c>
      <c r="C742" s="18" t="s">
        <v>430</v>
      </c>
      <c r="D742" s="18">
        <v>19</v>
      </c>
      <c r="E742" s="17">
        <v>9</v>
      </c>
      <c r="F742" s="17">
        <v>23</v>
      </c>
      <c r="G742" s="17">
        <v>73</v>
      </c>
      <c r="H742" s="23">
        <f t="shared" si="11"/>
        <v>0.31506849315068491</v>
      </c>
      <c r="I742" s="17" t="s">
        <v>217</v>
      </c>
    </row>
    <row r="743" spans="1:9" x14ac:dyDescent="0.3">
      <c r="A743" s="18">
        <v>80</v>
      </c>
      <c r="B743" s="40">
        <v>45520</v>
      </c>
      <c r="C743" s="18" t="s">
        <v>122</v>
      </c>
      <c r="D743" s="18">
        <v>20</v>
      </c>
      <c r="E743" s="17">
        <v>9</v>
      </c>
      <c r="F743" s="17">
        <v>72</v>
      </c>
      <c r="G743" s="17">
        <v>100</v>
      </c>
      <c r="H743" s="23">
        <f t="shared" si="11"/>
        <v>0.72</v>
      </c>
      <c r="I743" s="17" t="s">
        <v>276</v>
      </c>
    </row>
    <row r="744" spans="1:9" x14ac:dyDescent="0.3">
      <c r="A744" s="18">
        <v>80</v>
      </c>
      <c r="B744" s="40">
        <v>45520</v>
      </c>
      <c r="C744" s="18" t="s">
        <v>172</v>
      </c>
      <c r="D744" s="18">
        <v>21</v>
      </c>
      <c r="E744" s="17">
        <v>7</v>
      </c>
      <c r="F744" s="17">
        <v>13</v>
      </c>
      <c r="G744" s="17">
        <v>53</v>
      </c>
      <c r="H744" s="23">
        <f t="shared" si="11"/>
        <v>0.24528301886792453</v>
      </c>
      <c r="I744" s="17" t="s">
        <v>276</v>
      </c>
    </row>
    <row r="745" spans="1:9" x14ac:dyDescent="0.3">
      <c r="A745" s="18">
        <v>80</v>
      </c>
      <c r="B745" s="40">
        <v>45520</v>
      </c>
      <c r="C745" s="18" t="s">
        <v>278</v>
      </c>
      <c r="D745" s="18">
        <v>22</v>
      </c>
      <c r="E745" s="17">
        <v>7</v>
      </c>
      <c r="F745" s="17">
        <v>23</v>
      </c>
      <c r="G745" s="17">
        <v>39</v>
      </c>
      <c r="H745" s="23">
        <f t="shared" si="11"/>
        <v>0.58974358974358976</v>
      </c>
      <c r="I745" s="17" t="s">
        <v>115</v>
      </c>
    </row>
    <row r="746" spans="1:9" x14ac:dyDescent="0.3">
      <c r="A746" s="18">
        <v>80</v>
      </c>
      <c r="B746" s="40">
        <v>45520</v>
      </c>
      <c r="C746" s="18" t="s">
        <v>235</v>
      </c>
      <c r="D746" s="18">
        <v>23</v>
      </c>
      <c r="E746" s="17">
        <v>6</v>
      </c>
      <c r="F746" s="17">
        <v>13</v>
      </c>
      <c r="G746" s="17">
        <v>38</v>
      </c>
      <c r="H746" s="23">
        <f t="shared" si="11"/>
        <v>0.34210526315789475</v>
      </c>
      <c r="I746" s="17" t="s">
        <v>125</v>
      </c>
    </row>
    <row r="747" spans="1:9" x14ac:dyDescent="0.3">
      <c r="A747" s="18">
        <v>81</v>
      </c>
      <c r="B747" s="40">
        <v>45527</v>
      </c>
      <c r="C747" s="18" t="s">
        <v>105</v>
      </c>
      <c r="D747" s="18">
        <v>1</v>
      </c>
      <c r="E747" s="17">
        <v>134</v>
      </c>
      <c r="F747" s="17">
        <v>14608</v>
      </c>
      <c r="G747" s="17">
        <v>9510</v>
      </c>
      <c r="H747" s="23">
        <f t="shared" si="11"/>
        <v>1.5360672975814931</v>
      </c>
      <c r="I747" s="17" t="s">
        <v>388</v>
      </c>
    </row>
    <row r="748" spans="1:9" x14ac:dyDescent="0.3">
      <c r="A748" s="18">
        <v>81</v>
      </c>
      <c r="B748" s="40">
        <v>45527</v>
      </c>
      <c r="C748" s="18" t="s">
        <v>343</v>
      </c>
      <c r="D748" s="18">
        <v>2</v>
      </c>
      <c r="E748" s="17">
        <v>134</v>
      </c>
      <c r="F748" s="17">
        <v>7519</v>
      </c>
      <c r="G748" s="17">
        <v>7134</v>
      </c>
      <c r="H748" s="23">
        <f t="shared" si="11"/>
        <v>1.0539669189795347</v>
      </c>
      <c r="I748" s="17" t="s">
        <v>342</v>
      </c>
    </row>
    <row r="749" spans="1:9" x14ac:dyDescent="0.3">
      <c r="A749" s="18">
        <v>81</v>
      </c>
      <c r="B749" s="40">
        <v>45527</v>
      </c>
      <c r="C749" s="18" t="s">
        <v>342</v>
      </c>
      <c r="D749" s="18">
        <v>3</v>
      </c>
      <c r="E749" s="17">
        <v>134</v>
      </c>
      <c r="F749" s="17">
        <v>7243</v>
      </c>
      <c r="G749" s="17">
        <v>8859</v>
      </c>
      <c r="H749" s="23">
        <f t="shared" si="11"/>
        <v>0.81758663506039053</v>
      </c>
      <c r="I749" s="17" t="s">
        <v>343</v>
      </c>
    </row>
    <row r="750" spans="1:9" x14ac:dyDescent="0.3">
      <c r="A750" s="18">
        <v>81</v>
      </c>
      <c r="B750" s="40">
        <v>45527</v>
      </c>
      <c r="C750" s="18" t="s">
        <v>235</v>
      </c>
      <c r="D750" s="18">
        <v>4</v>
      </c>
      <c r="E750" s="17">
        <v>131</v>
      </c>
      <c r="F750" s="17">
        <v>1492</v>
      </c>
      <c r="G750" s="17">
        <v>1611</v>
      </c>
      <c r="H750" s="23">
        <f t="shared" si="11"/>
        <v>0.92613283674736191</v>
      </c>
      <c r="I750" s="17" t="s">
        <v>343</v>
      </c>
    </row>
    <row r="751" spans="1:9" x14ac:dyDescent="0.3">
      <c r="A751" s="18">
        <v>81</v>
      </c>
      <c r="B751" s="40">
        <v>45527</v>
      </c>
      <c r="C751" s="18" t="s">
        <v>369</v>
      </c>
      <c r="D751" s="18">
        <v>5</v>
      </c>
      <c r="E751" s="17">
        <v>111</v>
      </c>
      <c r="F751" s="17">
        <v>5138</v>
      </c>
      <c r="G751" s="17">
        <v>6336</v>
      </c>
      <c r="H751" s="23">
        <f t="shared" si="11"/>
        <v>0.81092171717171713</v>
      </c>
      <c r="I751" s="17" t="s">
        <v>105</v>
      </c>
    </row>
    <row r="752" spans="1:9" x14ac:dyDescent="0.3">
      <c r="A752" s="18">
        <v>81</v>
      </c>
      <c r="B752" s="40">
        <v>45527</v>
      </c>
      <c r="C752" s="18" t="s">
        <v>388</v>
      </c>
      <c r="D752" s="18">
        <v>6</v>
      </c>
      <c r="E752" s="17">
        <v>105</v>
      </c>
      <c r="F752" s="17">
        <v>6232</v>
      </c>
      <c r="G752" s="17">
        <v>6726</v>
      </c>
      <c r="H752" s="23">
        <f t="shared" si="11"/>
        <v>0.92655367231638419</v>
      </c>
      <c r="I752" s="17" t="s">
        <v>105</v>
      </c>
    </row>
    <row r="753" spans="1:9" x14ac:dyDescent="0.3">
      <c r="A753" s="18">
        <v>81</v>
      </c>
      <c r="B753" s="40">
        <v>45527</v>
      </c>
      <c r="C753" s="18" t="s">
        <v>138</v>
      </c>
      <c r="D753" s="18">
        <v>7</v>
      </c>
      <c r="E753" s="17">
        <v>89</v>
      </c>
      <c r="F753" s="17">
        <v>1567</v>
      </c>
      <c r="G753" s="17">
        <v>1529</v>
      </c>
      <c r="H753" s="23">
        <f t="shared" si="11"/>
        <v>1.0248528449967298</v>
      </c>
      <c r="I753" s="17" t="s">
        <v>343</v>
      </c>
    </row>
    <row r="754" spans="1:9" x14ac:dyDescent="0.3">
      <c r="A754" s="18">
        <v>81</v>
      </c>
      <c r="B754" s="40">
        <v>45527</v>
      </c>
      <c r="C754" s="18" t="s">
        <v>466</v>
      </c>
      <c r="D754" s="18">
        <v>8</v>
      </c>
      <c r="E754" s="17">
        <v>63</v>
      </c>
      <c r="F754" s="17">
        <v>838</v>
      </c>
      <c r="G754" s="17">
        <v>1016</v>
      </c>
      <c r="H754" s="23">
        <f t="shared" si="11"/>
        <v>0.82480314960629919</v>
      </c>
      <c r="I754" s="17" t="s">
        <v>342</v>
      </c>
    </row>
    <row r="755" spans="1:9" x14ac:dyDescent="0.3">
      <c r="A755" s="18">
        <v>81</v>
      </c>
      <c r="B755" s="40">
        <v>45527</v>
      </c>
      <c r="C755" s="18" t="s">
        <v>421</v>
      </c>
      <c r="D755" s="18">
        <v>9</v>
      </c>
      <c r="E755" s="17">
        <v>24</v>
      </c>
      <c r="F755" s="17">
        <v>39</v>
      </c>
      <c r="G755" s="17">
        <v>84</v>
      </c>
      <c r="H755" s="23">
        <f t="shared" si="11"/>
        <v>0.4642857142857143</v>
      </c>
      <c r="I755" s="17" t="s">
        <v>367</v>
      </c>
    </row>
    <row r="756" spans="1:9" x14ac:dyDescent="0.3">
      <c r="A756" s="18">
        <v>81</v>
      </c>
      <c r="B756" s="40">
        <v>45527</v>
      </c>
      <c r="C756" s="18" t="s">
        <v>416</v>
      </c>
      <c r="D756" s="18">
        <v>10</v>
      </c>
      <c r="E756" s="17">
        <v>23</v>
      </c>
      <c r="F756" s="17">
        <v>120</v>
      </c>
      <c r="G756" s="17">
        <v>214</v>
      </c>
      <c r="H756" s="23">
        <f t="shared" si="11"/>
        <v>0.56074766355140182</v>
      </c>
      <c r="I756" s="17" t="s">
        <v>367</v>
      </c>
    </row>
    <row r="757" spans="1:9" x14ac:dyDescent="0.3">
      <c r="A757" s="18">
        <v>81</v>
      </c>
      <c r="B757" s="40">
        <v>45527</v>
      </c>
      <c r="C757" s="18" t="s">
        <v>451</v>
      </c>
      <c r="D757" s="18">
        <v>11</v>
      </c>
      <c r="E757" s="17">
        <v>21</v>
      </c>
      <c r="F757" s="17">
        <v>156</v>
      </c>
      <c r="G757" s="17">
        <v>234</v>
      </c>
      <c r="H757" s="23">
        <f t="shared" si="11"/>
        <v>0.66666666666666663</v>
      </c>
      <c r="I757" s="17" t="s">
        <v>466</v>
      </c>
    </row>
    <row r="758" spans="1:9" x14ac:dyDescent="0.3">
      <c r="A758" s="18">
        <v>81</v>
      </c>
      <c r="B758" s="40">
        <v>45527</v>
      </c>
      <c r="C758" s="18" t="s">
        <v>217</v>
      </c>
      <c r="D758" s="18">
        <v>12</v>
      </c>
      <c r="E758" s="17">
        <v>19</v>
      </c>
      <c r="F758" s="17">
        <v>128</v>
      </c>
      <c r="G758" s="17">
        <v>194</v>
      </c>
      <c r="H758" s="23">
        <f t="shared" si="11"/>
        <v>0.65979381443298968</v>
      </c>
      <c r="I758" s="17" t="s">
        <v>367</v>
      </c>
    </row>
    <row r="759" spans="1:9" x14ac:dyDescent="0.3">
      <c r="A759" s="18">
        <v>81</v>
      </c>
      <c r="B759" s="40">
        <v>45527</v>
      </c>
      <c r="C759" s="18" t="s">
        <v>164</v>
      </c>
      <c r="D759" s="18">
        <v>13</v>
      </c>
      <c r="E759" s="17">
        <v>18</v>
      </c>
      <c r="F759" s="17">
        <v>441</v>
      </c>
      <c r="G759" s="17">
        <v>411</v>
      </c>
      <c r="H759" s="23">
        <f t="shared" si="11"/>
        <v>1.0729927007299269</v>
      </c>
      <c r="I759" s="17" t="s">
        <v>467</v>
      </c>
    </row>
    <row r="760" spans="1:9" x14ac:dyDescent="0.3">
      <c r="A760" s="18">
        <v>81</v>
      </c>
      <c r="B760" s="40">
        <v>45527</v>
      </c>
      <c r="C760" s="18" t="s">
        <v>468</v>
      </c>
      <c r="D760" s="18">
        <v>14</v>
      </c>
      <c r="E760" s="17">
        <v>15</v>
      </c>
      <c r="F760" s="17">
        <v>62</v>
      </c>
      <c r="G760" s="17">
        <v>94</v>
      </c>
      <c r="H760" s="23">
        <f t="shared" si="11"/>
        <v>0.65957446808510634</v>
      </c>
      <c r="I760" s="17" t="s">
        <v>217</v>
      </c>
    </row>
    <row r="761" spans="1:9" x14ac:dyDescent="0.3">
      <c r="A761" s="18">
        <v>81</v>
      </c>
      <c r="B761" s="40">
        <v>45527</v>
      </c>
      <c r="C761" s="18" t="s">
        <v>467</v>
      </c>
      <c r="D761" s="18">
        <v>15</v>
      </c>
      <c r="E761" s="17">
        <v>15</v>
      </c>
      <c r="F761" s="17">
        <v>416</v>
      </c>
      <c r="G761" s="17">
        <v>397</v>
      </c>
      <c r="H761" s="23">
        <f t="shared" si="11"/>
        <v>1.0478589420654911</v>
      </c>
      <c r="I761" s="17" t="s">
        <v>164</v>
      </c>
    </row>
    <row r="762" spans="1:9" x14ac:dyDescent="0.3">
      <c r="A762" s="18">
        <v>81</v>
      </c>
      <c r="B762" s="40">
        <v>45527</v>
      </c>
      <c r="C762" s="18" t="s">
        <v>337</v>
      </c>
      <c r="D762" s="18">
        <v>16</v>
      </c>
      <c r="E762" s="17">
        <v>11</v>
      </c>
      <c r="F762" s="17">
        <v>52</v>
      </c>
      <c r="G762" s="17">
        <v>109</v>
      </c>
      <c r="H762" s="23">
        <f t="shared" si="11"/>
        <v>0.47706422018348627</v>
      </c>
      <c r="I762" s="17" t="s">
        <v>467</v>
      </c>
    </row>
    <row r="763" spans="1:9" x14ac:dyDescent="0.3">
      <c r="A763" s="18">
        <v>81</v>
      </c>
      <c r="B763" s="40">
        <v>45527</v>
      </c>
      <c r="C763" s="18" t="s">
        <v>430</v>
      </c>
      <c r="D763" s="18">
        <v>17</v>
      </c>
      <c r="E763" s="17">
        <v>11</v>
      </c>
      <c r="F763" s="17">
        <v>23</v>
      </c>
      <c r="G763" s="17">
        <v>71</v>
      </c>
      <c r="H763" s="23">
        <f t="shared" si="11"/>
        <v>0.323943661971831</v>
      </c>
      <c r="I763" s="17" t="s">
        <v>416</v>
      </c>
    </row>
    <row r="764" spans="1:9" x14ac:dyDescent="0.3">
      <c r="A764" s="18">
        <v>81</v>
      </c>
      <c r="B764" s="40">
        <v>45527</v>
      </c>
      <c r="C764" s="18" t="s">
        <v>463</v>
      </c>
      <c r="D764" s="18">
        <v>18</v>
      </c>
      <c r="E764" s="17">
        <v>9</v>
      </c>
      <c r="F764" s="17">
        <v>143</v>
      </c>
      <c r="G764" s="17">
        <v>157</v>
      </c>
      <c r="H764" s="23">
        <f t="shared" si="11"/>
        <v>0.91082802547770703</v>
      </c>
      <c r="I764" s="17" t="s">
        <v>105</v>
      </c>
    </row>
    <row r="765" spans="1:9" x14ac:dyDescent="0.3">
      <c r="A765" s="18">
        <v>81</v>
      </c>
      <c r="B765" s="40">
        <v>45527</v>
      </c>
      <c r="C765" s="18" t="s">
        <v>193</v>
      </c>
      <c r="D765" s="18">
        <v>19</v>
      </c>
      <c r="E765" s="17">
        <v>9</v>
      </c>
      <c r="F765" s="17">
        <v>29</v>
      </c>
      <c r="G765" s="17">
        <v>49</v>
      </c>
      <c r="H765" s="23">
        <f t="shared" si="11"/>
        <v>0.59183673469387754</v>
      </c>
      <c r="I765" s="17" t="s">
        <v>469</v>
      </c>
    </row>
    <row r="766" spans="1:9" x14ac:dyDescent="0.3">
      <c r="A766" s="18">
        <v>81</v>
      </c>
      <c r="B766" s="40">
        <v>45527</v>
      </c>
      <c r="C766" s="18" t="s">
        <v>469</v>
      </c>
      <c r="D766" s="18">
        <v>20</v>
      </c>
      <c r="E766" s="17">
        <v>9</v>
      </c>
      <c r="F766" s="17">
        <v>51</v>
      </c>
      <c r="G766" s="17">
        <v>86</v>
      </c>
      <c r="H766" s="23">
        <f t="shared" si="11"/>
        <v>0.59302325581395354</v>
      </c>
      <c r="I766" s="17" t="s">
        <v>342</v>
      </c>
    </row>
    <row r="767" spans="1:9" x14ac:dyDescent="0.3">
      <c r="A767" s="18">
        <v>81</v>
      </c>
      <c r="B767" s="40">
        <v>45527</v>
      </c>
      <c r="C767" s="18" t="s">
        <v>470</v>
      </c>
      <c r="D767" s="18">
        <v>21</v>
      </c>
      <c r="E767" s="17">
        <v>6</v>
      </c>
      <c r="F767" s="17">
        <v>31</v>
      </c>
      <c r="G767" s="17">
        <v>58</v>
      </c>
      <c r="H767" s="23">
        <f t="shared" si="11"/>
        <v>0.53448275862068961</v>
      </c>
      <c r="I767" s="17" t="s">
        <v>105</v>
      </c>
    </row>
    <row r="768" spans="1:9" x14ac:dyDescent="0.3">
      <c r="A768" s="18">
        <v>81</v>
      </c>
      <c r="B768" s="40">
        <v>45527</v>
      </c>
      <c r="C768" s="18" t="s">
        <v>109</v>
      </c>
      <c r="D768" s="18">
        <v>22</v>
      </c>
      <c r="E768" s="17">
        <v>5</v>
      </c>
      <c r="F768" s="17">
        <v>37</v>
      </c>
      <c r="G768" s="17">
        <v>35</v>
      </c>
      <c r="H768" s="23">
        <f t="shared" si="11"/>
        <v>1.0571428571428572</v>
      </c>
      <c r="I768" s="17" t="s">
        <v>467</v>
      </c>
    </row>
    <row r="769" spans="1:9" x14ac:dyDescent="0.3">
      <c r="A769" s="18">
        <v>81</v>
      </c>
      <c r="B769" s="40">
        <v>45527</v>
      </c>
      <c r="C769" s="18" t="s">
        <v>409</v>
      </c>
      <c r="D769" s="18">
        <v>23</v>
      </c>
      <c r="E769" s="17">
        <v>5</v>
      </c>
      <c r="F769" s="17">
        <v>35</v>
      </c>
      <c r="G769" s="17">
        <v>63</v>
      </c>
      <c r="H769" s="23">
        <f t="shared" si="11"/>
        <v>0.55555555555555558</v>
      </c>
      <c r="I769" s="17" t="s">
        <v>388</v>
      </c>
    </row>
    <row r="770" spans="1:9" x14ac:dyDescent="0.3">
      <c r="A770" s="18">
        <v>82</v>
      </c>
      <c r="B770" s="40">
        <v>45534</v>
      </c>
      <c r="C770" s="18" t="s">
        <v>131</v>
      </c>
      <c r="D770" s="18">
        <v>1</v>
      </c>
      <c r="E770" s="17">
        <v>103</v>
      </c>
      <c r="F770" s="17">
        <v>11858</v>
      </c>
      <c r="G770" s="17">
        <v>10758</v>
      </c>
      <c r="H770" s="23">
        <f t="shared" ref="H770:H833" si="12">F770/G770</f>
        <v>1.1022494887525562</v>
      </c>
      <c r="I770" s="17" t="s">
        <v>105</v>
      </c>
    </row>
    <row r="771" spans="1:9" x14ac:dyDescent="0.3">
      <c r="A771" s="18">
        <v>82</v>
      </c>
      <c r="B771" s="40">
        <v>45534</v>
      </c>
      <c r="C771" s="18" t="s">
        <v>105</v>
      </c>
      <c r="D771" s="18">
        <v>2</v>
      </c>
      <c r="E771" s="17">
        <v>103</v>
      </c>
      <c r="F771" s="17">
        <v>13249</v>
      </c>
      <c r="G771" s="17">
        <v>14013</v>
      </c>
      <c r="H771" s="23">
        <f t="shared" si="12"/>
        <v>0.94547919788767576</v>
      </c>
      <c r="I771" s="17" t="s">
        <v>131</v>
      </c>
    </row>
    <row r="772" spans="1:9" x14ac:dyDescent="0.3">
      <c r="A772" s="18">
        <v>82</v>
      </c>
      <c r="B772" s="40">
        <v>45534</v>
      </c>
      <c r="C772" s="18" t="s">
        <v>388</v>
      </c>
      <c r="D772" s="18">
        <v>3</v>
      </c>
      <c r="E772" s="17">
        <v>103</v>
      </c>
      <c r="F772" s="17">
        <v>3622</v>
      </c>
      <c r="G772" s="17">
        <v>2268</v>
      </c>
      <c r="H772" s="23">
        <f t="shared" si="12"/>
        <v>1.5970017636684304</v>
      </c>
      <c r="I772" s="17" t="s">
        <v>105</v>
      </c>
    </row>
    <row r="773" spans="1:9" x14ac:dyDescent="0.3">
      <c r="A773" s="18">
        <v>82</v>
      </c>
      <c r="B773" s="40">
        <v>45534</v>
      </c>
      <c r="C773" s="18" t="s">
        <v>109</v>
      </c>
      <c r="D773" s="18">
        <v>4</v>
      </c>
      <c r="E773" s="17">
        <v>97</v>
      </c>
      <c r="F773" s="17">
        <v>2114</v>
      </c>
      <c r="G773" s="17">
        <v>1638</v>
      </c>
      <c r="H773" s="23">
        <f t="shared" si="12"/>
        <v>1.2905982905982907</v>
      </c>
      <c r="I773" s="17" t="s">
        <v>105</v>
      </c>
    </row>
    <row r="774" spans="1:9" x14ac:dyDescent="0.3">
      <c r="A774" s="18">
        <v>82</v>
      </c>
      <c r="B774" s="40">
        <v>45534</v>
      </c>
      <c r="C774" s="18" t="s">
        <v>422</v>
      </c>
      <c r="D774" s="18">
        <v>5</v>
      </c>
      <c r="E774" s="17">
        <v>85</v>
      </c>
      <c r="F774" s="17">
        <v>1553</v>
      </c>
      <c r="G774" s="17">
        <v>1386</v>
      </c>
      <c r="H774" s="23">
        <f t="shared" si="12"/>
        <v>1.1204906204906204</v>
      </c>
      <c r="I774" s="17" t="s">
        <v>388</v>
      </c>
    </row>
    <row r="775" spans="1:9" x14ac:dyDescent="0.3">
      <c r="A775" s="18">
        <v>82</v>
      </c>
      <c r="B775" s="40">
        <v>45534</v>
      </c>
      <c r="C775" s="18" t="s">
        <v>276</v>
      </c>
      <c r="D775" s="18">
        <v>6</v>
      </c>
      <c r="E775" s="17">
        <v>56</v>
      </c>
      <c r="F775" s="17">
        <v>2099</v>
      </c>
      <c r="G775" s="17">
        <v>2549</v>
      </c>
      <c r="H775" s="23">
        <f t="shared" si="12"/>
        <v>0.82346018046292668</v>
      </c>
      <c r="I775" s="17" t="s">
        <v>131</v>
      </c>
    </row>
    <row r="776" spans="1:9" x14ac:dyDescent="0.3">
      <c r="A776" s="18">
        <v>82</v>
      </c>
      <c r="B776" s="40">
        <v>45534</v>
      </c>
      <c r="C776" s="18" t="s">
        <v>421</v>
      </c>
      <c r="D776" s="18">
        <v>7</v>
      </c>
      <c r="E776" s="17">
        <v>36</v>
      </c>
      <c r="F776" s="17">
        <v>405</v>
      </c>
      <c r="G776" s="17">
        <v>805</v>
      </c>
      <c r="H776" s="23">
        <f t="shared" si="12"/>
        <v>0.50310559006211175</v>
      </c>
      <c r="I776" s="17" t="s">
        <v>105</v>
      </c>
    </row>
    <row r="777" spans="1:9" x14ac:dyDescent="0.3">
      <c r="A777" s="18">
        <v>82</v>
      </c>
      <c r="B777" s="40">
        <v>45534</v>
      </c>
      <c r="C777" s="18" t="s">
        <v>356</v>
      </c>
      <c r="D777" s="18">
        <v>8</v>
      </c>
      <c r="E777" s="17">
        <v>33</v>
      </c>
      <c r="F777" s="17">
        <v>907</v>
      </c>
      <c r="G777" s="17">
        <v>1255</v>
      </c>
      <c r="H777" s="23">
        <f t="shared" si="12"/>
        <v>0.7227091633466135</v>
      </c>
      <c r="I777" s="17" t="s">
        <v>131</v>
      </c>
    </row>
    <row r="778" spans="1:9" x14ac:dyDescent="0.3">
      <c r="A778" s="18">
        <v>82</v>
      </c>
      <c r="B778" s="40">
        <v>45534</v>
      </c>
      <c r="C778" s="18" t="s">
        <v>199</v>
      </c>
      <c r="D778" s="18">
        <v>9</v>
      </c>
      <c r="E778" s="17">
        <v>31</v>
      </c>
      <c r="F778" s="17">
        <v>273</v>
      </c>
      <c r="G778" s="17">
        <v>724</v>
      </c>
      <c r="H778" s="23">
        <f t="shared" si="12"/>
        <v>0.3770718232044199</v>
      </c>
      <c r="I778" s="17" t="s">
        <v>105</v>
      </c>
    </row>
    <row r="779" spans="1:9" x14ac:dyDescent="0.3">
      <c r="A779" s="18">
        <v>82</v>
      </c>
      <c r="B779" s="40">
        <v>45534</v>
      </c>
      <c r="C779" s="18" t="s">
        <v>263</v>
      </c>
      <c r="D779" s="18">
        <v>10</v>
      </c>
      <c r="E779" s="17">
        <v>18</v>
      </c>
      <c r="F779" s="17">
        <v>201</v>
      </c>
      <c r="G779" s="17">
        <v>296</v>
      </c>
      <c r="H779" s="23">
        <f t="shared" si="12"/>
        <v>0.67905405405405406</v>
      </c>
      <c r="I779" s="17" t="s">
        <v>105</v>
      </c>
    </row>
    <row r="780" spans="1:9" x14ac:dyDescent="0.3">
      <c r="A780" s="18">
        <v>82</v>
      </c>
      <c r="B780" s="40">
        <v>45534</v>
      </c>
      <c r="C780" s="18" t="s">
        <v>471</v>
      </c>
      <c r="D780" s="18">
        <v>11</v>
      </c>
      <c r="E780" s="17">
        <v>17</v>
      </c>
      <c r="F780" s="17">
        <v>233</v>
      </c>
      <c r="G780" s="17">
        <v>410</v>
      </c>
      <c r="H780" s="23">
        <f t="shared" si="12"/>
        <v>0.56829268292682922</v>
      </c>
      <c r="I780" s="17" t="s">
        <v>276</v>
      </c>
    </row>
    <row r="781" spans="1:9" x14ac:dyDescent="0.3">
      <c r="A781" s="18">
        <v>82</v>
      </c>
      <c r="B781" s="40">
        <v>45534</v>
      </c>
      <c r="C781" s="18" t="s">
        <v>304</v>
      </c>
      <c r="D781" s="18">
        <v>12</v>
      </c>
      <c r="E781" s="17">
        <v>13</v>
      </c>
      <c r="F781" s="17">
        <v>84</v>
      </c>
      <c r="G781" s="17">
        <v>108</v>
      </c>
      <c r="H781" s="23">
        <f t="shared" si="12"/>
        <v>0.77777777777777779</v>
      </c>
      <c r="I781" s="17" t="s">
        <v>110</v>
      </c>
    </row>
    <row r="782" spans="1:9" x14ac:dyDescent="0.3">
      <c r="A782" s="18">
        <v>82</v>
      </c>
      <c r="B782" s="40">
        <v>45534</v>
      </c>
      <c r="C782" s="18" t="s">
        <v>110</v>
      </c>
      <c r="D782" s="18">
        <v>13</v>
      </c>
      <c r="E782" s="17">
        <v>12</v>
      </c>
      <c r="F782" s="17">
        <v>140</v>
      </c>
      <c r="G782" s="17">
        <v>188</v>
      </c>
      <c r="H782" s="23">
        <f t="shared" si="12"/>
        <v>0.74468085106382975</v>
      </c>
      <c r="I782" s="17" t="s">
        <v>131</v>
      </c>
    </row>
    <row r="783" spans="1:9" x14ac:dyDescent="0.3">
      <c r="A783" s="18">
        <v>82</v>
      </c>
      <c r="B783" s="40">
        <v>45534</v>
      </c>
      <c r="C783" s="18" t="s">
        <v>115</v>
      </c>
      <c r="D783" s="18">
        <v>14</v>
      </c>
      <c r="E783" s="17">
        <v>11</v>
      </c>
      <c r="F783" s="17">
        <v>15</v>
      </c>
      <c r="G783" s="17">
        <v>50</v>
      </c>
      <c r="H783" s="23">
        <f t="shared" si="12"/>
        <v>0.3</v>
      </c>
      <c r="I783" s="17" t="s">
        <v>388</v>
      </c>
    </row>
    <row r="784" spans="1:9" x14ac:dyDescent="0.3">
      <c r="A784" s="18">
        <v>82</v>
      </c>
      <c r="B784" s="40">
        <v>45534</v>
      </c>
      <c r="C784" s="18" t="s">
        <v>353</v>
      </c>
      <c r="D784" s="18">
        <v>15</v>
      </c>
      <c r="E784" s="17">
        <v>10</v>
      </c>
      <c r="F784" s="17">
        <v>119</v>
      </c>
      <c r="G784" s="17">
        <v>124</v>
      </c>
      <c r="H784" s="23">
        <f t="shared" si="12"/>
        <v>0.95967741935483875</v>
      </c>
      <c r="I784" s="17" t="s">
        <v>421</v>
      </c>
    </row>
    <row r="785" spans="1:9" x14ac:dyDescent="0.3">
      <c r="A785" s="18">
        <v>82</v>
      </c>
      <c r="B785" s="40">
        <v>45534</v>
      </c>
      <c r="C785" s="18" t="s">
        <v>343</v>
      </c>
      <c r="D785" s="18">
        <v>16</v>
      </c>
      <c r="E785" s="17">
        <v>9</v>
      </c>
      <c r="F785" s="17">
        <v>42</v>
      </c>
      <c r="G785" s="17">
        <v>52</v>
      </c>
      <c r="H785" s="23">
        <f t="shared" si="12"/>
        <v>0.80769230769230771</v>
      </c>
      <c r="I785" s="17" t="s">
        <v>356</v>
      </c>
    </row>
    <row r="786" spans="1:9" x14ac:dyDescent="0.3">
      <c r="A786" s="18">
        <v>82</v>
      </c>
      <c r="B786" s="40">
        <v>45534</v>
      </c>
      <c r="C786" s="18" t="s">
        <v>337</v>
      </c>
      <c r="D786" s="18">
        <v>17</v>
      </c>
      <c r="E786" s="17">
        <v>8</v>
      </c>
      <c r="F786" s="17">
        <v>34</v>
      </c>
      <c r="G786" s="17">
        <v>43</v>
      </c>
      <c r="H786" s="23">
        <f t="shared" si="12"/>
        <v>0.79069767441860461</v>
      </c>
      <c r="I786" s="17" t="s">
        <v>105</v>
      </c>
    </row>
    <row r="787" spans="1:9" x14ac:dyDescent="0.3">
      <c r="A787" s="18">
        <v>82</v>
      </c>
      <c r="B787" s="40">
        <v>45534</v>
      </c>
      <c r="C787" s="18" t="s">
        <v>122</v>
      </c>
      <c r="D787" s="18">
        <v>18</v>
      </c>
      <c r="E787" s="17">
        <v>7</v>
      </c>
      <c r="F787" s="17">
        <v>16</v>
      </c>
      <c r="G787" s="17">
        <v>33</v>
      </c>
      <c r="H787" s="23">
        <f t="shared" si="12"/>
        <v>0.48484848484848486</v>
      </c>
      <c r="I787" s="17" t="s">
        <v>471</v>
      </c>
    </row>
    <row r="788" spans="1:9" x14ac:dyDescent="0.3">
      <c r="A788" s="18">
        <v>82</v>
      </c>
      <c r="B788" s="40">
        <v>45534</v>
      </c>
      <c r="C788" s="18" t="s">
        <v>172</v>
      </c>
      <c r="D788" s="18">
        <v>19</v>
      </c>
      <c r="E788" s="17">
        <v>7</v>
      </c>
      <c r="F788" s="17">
        <v>20</v>
      </c>
      <c r="G788" s="17">
        <v>44</v>
      </c>
      <c r="H788" s="23">
        <f t="shared" si="12"/>
        <v>0.45454545454545453</v>
      </c>
      <c r="I788" s="17" t="s">
        <v>304</v>
      </c>
    </row>
    <row r="789" spans="1:9" x14ac:dyDescent="0.3">
      <c r="A789" s="18">
        <v>82</v>
      </c>
      <c r="B789" s="40">
        <v>45534</v>
      </c>
      <c r="C789" s="18" t="s">
        <v>130</v>
      </c>
      <c r="D789" s="18">
        <v>20</v>
      </c>
      <c r="E789" s="17">
        <v>5</v>
      </c>
      <c r="F789" s="17">
        <v>18</v>
      </c>
      <c r="G789" s="17">
        <v>31</v>
      </c>
      <c r="H789" s="23">
        <f t="shared" si="12"/>
        <v>0.58064516129032262</v>
      </c>
      <c r="I789" s="17" t="s">
        <v>388</v>
      </c>
    </row>
    <row r="790" spans="1:9" x14ac:dyDescent="0.3">
      <c r="A790" s="18">
        <v>82</v>
      </c>
      <c r="B790" s="40">
        <v>45534</v>
      </c>
      <c r="C790" s="18" t="s">
        <v>450</v>
      </c>
      <c r="D790" s="18">
        <v>21</v>
      </c>
      <c r="E790" s="17">
        <v>4</v>
      </c>
      <c r="F790" s="17">
        <v>19</v>
      </c>
      <c r="G790" s="17">
        <v>31</v>
      </c>
      <c r="H790" s="23">
        <f t="shared" si="12"/>
        <v>0.61290322580645162</v>
      </c>
      <c r="I790" s="17" t="s">
        <v>276</v>
      </c>
    </row>
    <row r="791" spans="1:9" x14ac:dyDescent="0.3">
      <c r="A791" s="18">
        <v>82</v>
      </c>
      <c r="B791" s="40">
        <v>45534</v>
      </c>
      <c r="C791" s="18" t="s">
        <v>472</v>
      </c>
      <c r="D791" s="18">
        <v>22</v>
      </c>
      <c r="E791" s="17">
        <v>4</v>
      </c>
      <c r="F791" s="17">
        <v>130</v>
      </c>
      <c r="G791" s="17">
        <v>187</v>
      </c>
      <c r="H791" s="23">
        <f t="shared" si="12"/>
        <v>0.69518716577540107</v>
      </c>
      <c r="I791" s="17" t="s">
        <v>263</v>
      </c>
    </row>
    <row r="792" spans="1:9" x14ac:dyDescent="0.3">
      <c r="A792" s="18">
        <v>82</v>
      </c>
      <c r="B792" s="40">
        <v>45534</v>
      </c>
      <c r="C792" s="18" t="s">
        <v>473</v>
      </c>
      <c r="D792" s="18">
        <v>23</v>
      </c>
      <c r="E792" s="17">
        <v>4</v>
      </c>
      <c r="F792" s="17">
        <v>89</v>
      </c>
      <c r="G792" s="17">
        <v>98</v>
      </c>
      <c r="H792" s="23">
        <f t="shared" si="12"/>
        <v>0.90816326530612246</v>
      </c>
      <c r="I792" s="17" t="s">
        <v>131</v>
      </c>
    </row>
    <row r="793" spans="1:9" x14ac:dyDescent="0.3">
      <c r="A793" s="18">
        <v>83</v>
      </c>
      <c r="B793" s="40">
        <v>45541</v>
      </c>
      <c r="C793" s="18" t="s">
        <v>105</v>
      </c>
      <c r="D793" s="18">
        <v>1</v>
      </c>
      <c r="E793" s="17">
        <v>120</v>
      </c>
      <c r="F793" s="17">
        <v>17780</v>
      </c>
      <c r="G793" s="17">
        <v>14672</v>
      </c>
      <c r="H793" s="23">
        <f t="shared" si="12"/>
        <v>1.2118320610687023</v>
      </c>
      <c r="I793" s="17" t="s">
        <v>276</v>
      </c>
    </row>
    <row r="794" spans="1:9" x14ac:dyDescent="0.3">
      <c r="A794" s="18">
        <v>83</v>
      </c>
      <c r="B794" s="40">
        <v>45541</v>
      </c>
      <c r="C794" s="18" t="s">
        <v>276</v>
      </c>
      <c r="D794" s="18">
        <v>2</v>
      </c>
      <c r="E794" s="17">
        <v>120</v>
      </c>
      <c r="F794" s="17">
        <v>9897</v>
      </c>
      <c r="G794" s="17">
        <v>8606</v>
      </c>
      <c r="H794" s="23">
        <f t="shared" si="12"/>
        <v>1.1500116198001393</v>
      </c>
      <c r="I794" s="17" t="s">
        <v>105</v>
      </c>
    </row>
    <row r="795" spans="1:9" x14ac:dyDescent="0.3">
      <c r="A795" s="18">
        <v>83</v>
      </c>
      <c r="B795" s="40">
        <v>45541</v>
      </c>
      <c r="C795" s="18" t="s">
        <v>375</v>
      </c>
      <c r="D795" s="18">
        <v>3</v>
      </c>
      <c r="E795" s="17">
        <v>120</v>
      </c>
      <c r="F795" s="17">
        <v>3919</v>
      </c>
      <c r="G795" s="17">
        <v>3145</v>
      </c>
      <c r="H795" s="23">
        <f t="shared" si="12"/>
        <v>1.2461049284578696</v>
      </c>
      <c r="I795" s="17" t="s">
        <v>105</v>
      </c>
    </row>
    <row r="796" spans="1:9" x14ac:dyDescent="0.3">
      <c r="A796" s="18">
        <v>83</v>
      </c>
      <c r="B796" s="40">
        <v>45541</v>
      </c>
      <c r="C796" s="18" t="s">
        <v>444</v>
      </c>
      <c r="D796" s="18">
        <v>4</v>
      </c>
      <c r="E796" s="17">
        <v>106</v>
      </c>
      <c r="F796" s="17">
        <v>4332</v>
      </c>
      <c r="G796" s="17">
        <v>4187</v>
      </c>
      <c r="H796" s="23">
        <f t="shared" si="12"/>
        <v>1.0346310007165034</v>
      </c>
      <c r="I796" s="17" t="s">
        <v>105</v>
      </c>
    </row>
    <row r="797" spans="1:9" x14ac:dyDescent="0.3">
      <c r="A797" s="18">
        <v>83</v>
      </c>
      <c r="B797" s="40">
        <v>45541</v>
      </c>
      <c r="C797" s="18" t="s">
        <v>463</v>
      </c>
      <c r="D797" s="18">
        <v>5</v>
      </c>
      <c r="E797" s="17">
        <v>98</v>
      </c>
      <c r="F797" s="17">
        <v>2114</v>
      </c>
      <c r="G797" s="17">
        <v>2394</v>
      </c>
      <c r="H797" s="23">
        <f t="shared" si="12"/>
        <v>0.88304093567251463</v>
      </c>
      <c r="I797" s="17" t="s">
        <v>444</v>
      </c>
    </row>
    <row r="798" spans="1:9" x14ac:dyDescent="0.3">
      <c r="A798" s="18">
        <v>83</v>
      </c>
      <c r="B798" s="40">
        <v>45541</v>
      </c>
      <c r="C798" s="18" t="s">
        <v>430</v>
      </c>
      <c r="D798" s="18">
        <v>6</v>
      </c>
      <c r="E798" s="17">
        <v>89</v>
      </c>
      <c r="F798" s="17">
        <v>2142</v>
      </c>
      <c r="G798" s="17">
        <v>1833</v>
      </c>
      <c r="H798" s="23">
        <f t="shared" si="12"/>
        <v>1.1685761047463175</v>
      </c>
      <c r="I798" s="17" t="s">
        <v>444</v>
      </c>
    </row>
    <row r="799" spans="1:9" x14ac:dyDescent="0.3">
      <c r="A799" s="18">
        <v>83</v>
      </c>
      <c r="B799" s="40">
        <v>45541</v>
      </c>
      <c r="C799" s="18" t="s">
        <v>423</v>
      </c>
      <c r="D799" s="18">
        <v>7</v>
      </c>
      <c r="E799" s="17">
        <v>74</v>
      </c>
      <c r="F799" s="17">
        <v>1668</v>
      </c>
      <c r="G799" s="17">
        <v>3854</v>
      </c>
      <c r="H799" s="23">
        <f t="shared" si="12"/>
        <v>0.43279709392838611</v>
      </c>
      <c r="I799" s="17" t="s">
        <v>105</v>
      </c>
    </row>
    <row r="800" spans="1:9" x14ac:dyDescent="0.3">
      <c r="A800" s="18">
        <v>83</v>
      </c>
      <c r="B800" s="40">
        <v>45541</v>
      </c>
      <c r="C800" s="18" t="s">
        <v>197</v>
      </c>
      <c r="D800" s="18">
        <v>8</v>
      </c>
      <c r="E800" s="17">
        <v>65</v>
      </c>
      <c r="F800" s="17">
        <v>770</v>
      </c>
      <c r="G800" s="17">
        <v>872</v>
      </c>
      <c r="H800" s="23">
        <f t="shared" si="12"/>
        <v>0.8830275229357798</v>
      </c>
      <c r="I800" s="17" t="s">
        <v>105</v>
      </c>
    </row>
    <row r="801" spans="1:9" x14ac:dyDescent="0.3">
      <c r="A801" s="18">
        <v>83</v>
      </c>
      <c r="B801" s="40">
        <v>45541</v>
      </c>
      <c r="C801" s="18" t="s">
        <v>356</v>
      </c>
      <c r="D801" s="18">
        <v>9</v>
      </c>
      <c r="E801" s="17">
        <v>65</v>
      </c>
      <c r="F801" s="17">
        <v>606</v>
      </c>
      <c r="G801" s="17">
        <v>742</v>
      </c>
      <c r="H801" s="23">
        <f t="shared" si="12"/>
        <v>0.81671159029649598</v>
      </c>
      <c r="I801" s="17" t="s">
        <v>375</v>
      </c>
    </row>
    <row r="802" spans="1:9" x14ac:dyDescent="0.3">
      <c r="A802" s="18">
        <v>83</v>
      </c>
      <c r="B802" s="40">
        <v>45541</v>
      </c>
      <c r="C802" s="18" t="s">
        <v>421</v>
      </c>
      <c r="D802" s="18">
        <v>10</v>
      </c>
      <c r="E802" s="17">
        <v>59</v>
      </c>
      <c r="F802" s="17">
        <v>409</v>
      </c>
      <c r="G802" s="17">
        <v>460</v>
      </c>
      <c r="H802" s="23">
        <f t="shared" si="12"/>
        <v>0.88913043478260867</v>
      </c>
      <c r="I802" s="17" t="s">
        <v>197</v>
      </c>
    </row>
    <row r="803" spans="1:9" x14ac:dyDescent="0.3">
      <c r="A803" s="18">
        <v>83</v>
      </c>
      <c r="B803" s="40">
        <v>45541</v>
      </c>
      <c r="C803" s="18" t="s">
        <v>474</v>
      </c>
      <c r="D803" s="18">
        <v>11</v>
      </c>
      <c r="E803" s="17">
        <v>46</v>
      </c>
      <c r="F803" s="17">
        <v>391</v>
      </c>
      <c r="G803" s="17">
        <v>444</v>
      </c>
      <c r="H803" s="23">
        <f t="shared" si="12"/>
        <v>0.88063063063063063</v>
      </c>
      <c r="I803" s="17" t="s">
        <v>423</v>
      </c>
    </row>
    <row r="804" spans="1:9" x14ac:dyDescent="0.3">
      <c r="A804" s="18">
        <v>83</v>
      </c>
      <c r="B804" s="40">
        <v>45541</v>
      </c>
      <c r="C804" s="18" t="s">
        <v>416</v>
      </c>
      <c r="D804" s="18">
        <v>12</v>
      </c>
      <c r="E804" s="17">
        <v>39</v>
      </c>
      <c r="F804" s="17">
        <v>671</v>
      </c>
      <c r="G804" s="17">
        <v>776</v>
      </c>
      <c r="H804" s="23">
        <f t="shared" si="12"/>
        <v>0.86469072164948457</v>
      </c>
      <c r="I804" s="17" t="s">
        <v>463</v>
      </c>
    </row>
    <row r="805" spans="1:9" x14ac:dyDescent="0.3">
      <c r="A805" s="18">
        <v>83</v>
      </c>
      <c r="B805" s="40">
        <v>45541</v>
      </c>
      <c r="C805" s="18" t="s">
        <v>451</v>
      </c>
      <c r="D805" s="18">
        <v>13</v>
      </c>
      <c r="E805" s="17">
        <v>34</v>
      </c>
      <c r="F805" s="17">
        <v>486</v>
      </c>
      <c r="G805" s="17">
        <v>819</v>
      </c>
      <c r="H805" s="23">
        <f t="shared" si="12"/>
        <v>0.59340659340659341</v>
      </c>
      <c r="I805" s="17" t="s">
        <v>444</v>
      </c>
    </row>
    <row r="806" spans="1:9" x14ac:dyDescent="0.3">
      <c r="A806" s="18">
        <v>83</v>
      </c>
      <c r="B806" s="40">
        <v>45541</v>
      </c>
      <c r="C806" s="18" t="s">
        <v>172</v>
      </c>
      <c r="D806" s="18">
        <v>14</v>
      </c>
      <c r="E806" s="17">
        <v>33</v>
      </c>
      <c r="F806" s="17">
        <v>212</v>
      </c>
      <c r="G806" s="17">
        <v>282</v>
      </c>
      <c r="H806" s="23">
        <f t="shared" si="12"/>
        <v>0.75177304964539005</v>
      </c>
      <c r="I806" s="17" t="s">
        <v>110</v>
      </c>
    </row>
    <row r="807" spans="1:9" x14ac:dyDescent="0.3">
      <c r="A807" s="18">
        <v>83</v>
      </c>
      <c r="B807" s="40">
        <v>45541</v>
      </c>
      <c r="C807" s="18" t="s">
        <v>110</v>
      </c>
      <c r="D807" s="18">
        <v>15</v>
      </c>
      <c r="E807" s="17">
        <v>17</v>
      </c>
      <c r="F807" s="17">
        <v>238</v>
      </c>
      <c r="G807" s="17">
        <v>258</v>
      </c>
      <c r="H807" s="23">
        <f t="shared" si="12"/>
        <v>0.92248062015503873</v>
      </c>
      <c r="I807" s="17" t="s">
        <v>172</v>
      </c>
    </row>
    <row r="808" spans="1:9" x14ac:dyDescent="0.3">
      <c r="A808" s="18">
        <v>83</v>
      </c>
      <c r="B808" s="40">
        <v>45541</v>
      </c>
      <c r="C808" s="18" t="s">
        <v>475</v>
      </c>
      <c r="D808" s="18">
        <v>16</v>
      </c>
      <c r="E808" s="17">
        <v>15</v>
      </c>
      <c r="F808" s="17">
        <v>216</v>
      </c>
      <c r="G808" s="17">
        <v>362</v>
      </c>
      <c r="H808" s="23">
        <f t="shared" si="12"/>
        <v>0.59668508287292821</v>
      </c>
      <c r="I808" s="17" t="s">
        <v>105</v>
      </c>
    </row>
    <row r="809" spans="1:9" x14ac:dyDescent="0.3">
      <c r="A809" s="18">
        <v>83</v>
      </c>
      <c r="B809" s="40">
        <v>45541</v>
      </c>
      <c r="C809" s="18" t="s">
        <v>353</v>
      </c>
      <c r="D809" s="18">
        <v>17</v>
      </c>
      <c r="E809" s="17">
        <v>11</v>
      </c>
      <c r="F809" s="17">
        <v>82</v>
      </c>
      <c r="G809" s="17">
        <v>148</v>
      </c>
      <c r="H809" s="23">
        <f t="shared" si="12"/>
        <v>0.55405405405405406</v>
      </c>
      <c r="I809" s="17" t="s">
        <v>105</v>
      </c>
    </row>
    <row r="810" spans="1:9" x14ac:dyDescent="0.3">
      <c r="A810" s="18">
        <v>83</v>
      </c>
      <c r="B810" s="40">
        <v>45541</v>
      </c>
      <c r="C810" s="18" t="s">
        <v>476</v>
      </c>
      <c r="D810" s="18">
        <v>18</v>
      </c>
      <c r="E810" s="17">
        <v>9</v>
      </c>
      <c r="F810" s="17">
        <v>63</v>
      </c>
      <c r="G810" s="17">
        <v>74</v>
      </c>
      <c r="H810" s="23">
        <f t="shared" si="12"/>
        <v>0.85135135135135132</v>
      </c>
      <c r="I810" s="17" t="s">
        <v>276</v>
      </c>
    </row>
    <row r="811" spans="1:9" x14ac:dyDescent="0.3">
      <c r="A811" s="18">
        <v>83</v>
      </c>
      <c r="B811" s="40">
        <v>45541</v>
      </c>
      <c r="C811" s="18" t="s">
        <v>453</v>
      </c>
      <c r="D811" s="18">
        <v>19</v>
      </c>
      <c r="E811" s="17">
        <v>8</v>
      </c>
      <c r="F811" s="17">
        <v>46</v>
      </c>
      <c r="G811" s="17">
        <v>103</v>
      </c>
      <c r="H811" s="23">
        <f t="shared" si="12"/>
        <v>0.44660194174757284</v>
      </c>
      <c r="I811" s="17" t="s">
        <v>463</v>
      </c>
    </row>
    <row r="812" spans="1:9" x14ac:dyDescent="0.3">
      <c r="A812" s="18">
        <v>83</v>
      </c>
      <c r="B812" s="40">
        <v>45541</v>
      </c>
      <c r="C812" s="18" t="s">
        <v>477</v>
      </c>
      <c r="D812" s="18">
        <v>20</v>
      </c>
      <c r="E812" s="17">
        <v>5</v>
      </c>
      <c r="F812" s="17">
        <v>26</v>
      </c>
      <c r="G812" s="17">
        <v>40</v>
      </c>
      <c r="H812" s="23">
        <f t="shared" si="12"/>
        <v>0.65</v>
      </c>
      <c r="I812" s="17" t="s">
        <v>451</v>
      </c>
    </row>
    <row r="813" spans="1:9" x14ac:dyDescent="0.3">
      <c r="A813" s="18">
        <v>83</v>
      </c>
      <c r="B813" s="40">
        <v>45541</v>
      </c>
      <c r="C813" s="18" t="s">
        <v>478</v>
      </c>
      <c r="D813" s="18">
        <v>21</v>
      </c>
      <c r="E813" s="17">
        <v>3</v>
      </c>
      <c r="F813" s="17">
        <v>21</v>
      </c>
      <c r="G813" s="17">
        <v>18</v>
      </c>
      <c r="H813" s="23">
        <f t="shared" si="12"/>
        <v>1.1666666666666667</v>
      </c>
      <c r="I813" s="17" t="s">
        <v>423</v>
      </c>
    </row>
    <row r="814" spans="1:9" x14ac:dyDescent="0.3">
      <c r="A814" s="18">
        <v>83</v>
      </c>
      <c r="B814" s="40">
        <v>45541</v>
      </c>
      <c r="C814" s="18" t="s">
        <v>479</v>
      </c>
      <c r="D814" s="18">
        <v>22</v>
      </c>
      <c r="E814" s="17">
        <v>2</v>
      </c>
      <c r="F814" s="17">
        <v>7</v>
      </c>
      <c r="G814" s="17">
        <v>4</v>
      </c>
      <c r="H814" s="23">
        <f t="shared" si="12"/>
        <v>1.75</v>
      </c>
      <c r="I814" s="17" t="s">
        <v>444</v>
      </c>
    </row>
    <row r="815" spans="1:9" x14ac:dyDescent="0.3">
      <c r="A815" s="18">
        <v>84</v>
      </c>
      <c r="B815" s="40">
        <v>45548</v>
      </c>
      <c r="C815" s="18" t="s">
        <v>454</v>
      </c>
      <c r="D815" s="18">
        <v>1</v>
      </c>
      <c r="E815" s="17">
        <v>171</v>
      </c>
      <c r="F815" s="17">
        <v>16327</v>
      </c>
      <c r="G815" s="17">
        <v>17522</v>
      </c>
      <c r="H815" s="23">
        <f t="shared" si="12"/>
        <v>0.93180002282844421</v>
      </c>
      <c r="I815" s="17" t="s">
        <v>276</v>
      </c>
    </row>
    <row r="816" spans="1:9" x14ac:dyDescent="0.3">
      <c r="A816" s="18">
        <v>84</v>
      </c>
      <c r="B816" s="40">
        <v>45548</v>
      </c>
      <c r="C816" s="18" t="s">
        <v>164</v>
      </c>
      <c r="D816" s="18">
        <v>2</v>
      </c>
      <c r="E816" s="17">
        <v>171</v>
      </c>
      <c r="F816" s="17">
        <v>10014</v>
      </c>
      <c r="G816" s="17">
        <v>7661</v>
      </c>
      <c r="H816" s="23">
        <f t="shared" si="12"/>
        <v>1.3071400600443805</v>
      </c>
      <c r="I816" s="17" t="s">
        <v>276</v>
      </c>
    </row>
    <row r="817" spans="1:9" x14ac:dyDescent="0.3">
      <c r="A817" s="18">
        <v>84</v>
      </c>
      <c r="B817" s="40">
        <v>45548</v>
      </c>
      <c r="C817" s="18" t="s">
        <v>276</v>
      </c>
      <c r="D817" s="18">
        <v>3</v>
      </c>
      <c r="E817" s="17">
        <v>171</v>
      </c>
      <c r="F817" s="17">
        <v>24292</v>
      </c>
      <c r="G817" s="17">
        <v>22415</v>
      </c>
      <c r="H817" s="23">
        <f t="shared" si="12"/>
        <v>1.0837385679232656</v>
      </c>
      <c r="I817" s="17" t="s">
        <v>454</v>
      </c>
    </row>
    <row r="818" spans="1:9" x14ac:dyDescent="0.3">
      <c r="A818" s="18">
        <v>84</v>
      </c>
      <c r="B818" s="40">
        <v>45548</v>
      </c>
      <c r="C818" s="18" t="s">
        <v>463</v>
      </c>
      <c r="D818" s="18">
        <v>4</v>
      </c>
      <c r="E818" s="17">
        <v>140</v>
      </c>
      <c r="F818" s="17">
        <v>9846</v>
      </c>
      <c r="G818" s="17">
        <v>10701</v>
      </c>
      <c r="H818" s="23">
        <f t="shared" si="12"/>
        <v>0.92010092514718256</v>
      </c>
      <c r="I818" s="17" t="s">
        <v>276</v>
      </c>
    </row>
    <row r="819" spans="1:9" x14ac:dyDescent="0.3">
      <c r="A819" s="18">
        <v>84</v>
      </c>
      <c r="B819" s="40">
        <v>45548</v>
      </c>
      <c r="C819" s="18" t="s">
        <v>430</v>
      </c>
      <c r="D819" s="18">
        <v>5</v>
      </c>
      <c r="E819" s="17">
        <v>112</v>
      </c>
      <c r="F819" s="17">
        <v>3231</v>
      </c>
      <c r="G819" s="17">
        <v>2670</v>
      </c>
      <c r="H819" s="23">
        <f t="shared" si="12"/>
        <v>1.2101123595505618</v>
      </c>
      <c r="I819" s="17" t="s">
        <v>454</v>
      </c>
    </row>
    <row r="820" spans="1:9" x14ac:dyDescent="0.3">
      <c r="A820" s="18">
        <v>84</v>
      </c>
      <c r="B820" s="40">
        <v>45548</v>
      </c>
      <c r="C820" s="18" t="s">
        <v>432</v>
      </c>
      <c r="D820" s="18">
        <v>6</v>
      </c>
      <c r="E820" s="17">
        <v>103</v>
      </c>
      <c r="F820" s="17">
        <v>3548</v>
      </c>
      <c r="G820" s="17">
        <v>3992</v>
      </c>
      <c r="H820" s="23">
        <f t="shared" si="12"/>
        <v>0.8887775551102205</v>
      </c>
      <c r="I820" s="17" t="s">
        <v>463</v>
      </c>
    </row>
    <row r="821" spans="1:9" x14ac:dyDescent="0.3">
      <c r="A821" s="18">
        <v>84</v>
      </c>
      <c r="B821" s="40">
        <v>45548</v>
      </c>
      <c r="C821" s="18" t="s">
        <v>235</v>
      </c>
      <c r="D821" s="18">
        <v>7</v>
      </c>
      <c r="E821" s="17">
        <v>86</v>
      </c>
      <c r="F821" s="17">
        <v>1444</v>
      </c>
      <c r="G821" s="17">
        <v>1560</v>
      </c>
      <c r="H821" s="23">
        <f t="shared" si="12"/>
        <v>0.92564102564102568</v>
      </c>
      <c r="I821" s="17" t="s">
        <v>276</v>
      </c>
    </row>
    <row r="822" spans="1:9" x14ac:dyDescent="0.3">
      <c r="A822" s="18">
        <v>84</v>
      </c>
      <c r="B822" s="40">
        <v>45548</v>
      </c>
      <c r="C822" s="18" t="s">
        <v>451</v>
      </c>
      <c r="D822" s="18">
        <v>8</v>
      </c>
      <c r="E822" s="17">
        <v>81</v>
      </c>
      <c r="F822" s="17">
        <v>1390</v>
      </c>
      <c r="G822" s="17">
        <v>1583</v>
      </c>
      <c r="H822" s="23">
        <f t="shared" si="12"/>
        <v>0.87807959570435878</v>
      </c>
      <c r="I822" s="17" t="s">
        <v>480</v>
      </c>
    </row>
    <row r="823" spans="1:9" x14ac:dyDescent="0.3">
      <c r="A823" s="18">
        <v>84</v>
      </c>
      <c r="B823" s="40">
        <v>45548</v>
      </c>
      <c r="C823" s="18" t="s">
        <v>480</v>
      </c>
      <c r="D823" s="18">
        <v>9</v>
      </c>
      <c r="E823" s="17">
        <v>73</v>
      </c>
      <c r="F823" s="17">
        <v>1582</v>
      </c>
      <c r="G823" s="17">
        <v>1131</v>
      </c>
      <c r="H823" s="23">
        <f t="shared" si="12"/>
        <v>1.398762157382847</v>
      </c>
      <c r="I823" s="17" t="s">
        <v>451</v>
      </c>
    </row>
    <row r="824" spans="1:9" x14ac:dyDescent="0.3">
      <c r="A824" s="18">
        <v>84</v>
      </c>
      <c r="B824" s="40">
        <v>45548</v>
      </c>
      <c r="C824" s="18" t="s">
        <v>199</v>
      </c>
      <c r="D824" s="18">
        <v>10</v>
      </c>
      <c r="E824" s="17">
        <v>66</v>
      </c>
      <c r="F824" s="17">
        <v>575</v>
      </c>
      <c r="G824" s="17">
        <v>736</v>
      </c>
      <c r="H824" s="23">
        <f t="shared" si="12"/>
        <v>0.78125</v>
      </c>
      <c r="I824" s="17" t="s">
        <v>278</v>
      </c>
    </row>
    <row r="825" spans="1:9" x14ac:dyDescent="0.3">
      <c r="A825" s="18">
        <v>84</v>
      </c>
      <c r="B825" s="40">
        <v>45548</v>
      </c>
      <c r="C825" s="18" t="s">
        <v>140</v>
      </c>
      <c r="D825" s="18">
        <v>11</v>
      </c>
      <c r="E825" s="17">
        <v>65</v>
      </c>
      <c r="F825" s="17">
        <v>881</v>
      </c>
      <c r="G825" s="17">
        <v>741</v>
      </c>
      <c r="H825" s="23">
        <f t="shared" si="12"/>
        <v>1.1889338731443995</v>
      </c>
      <c r="I825" s="17" t="s">
        <v>451</v>
      </c>
    </row>
    <row r="826" spans="1:9" x14ac:dyDescent="0.3">
      <c r="A826" s="18">
        <v>84</v>
      </c>
      <c r="B826" s="40">
        <v>45548</v>
      </c>
      <c r="C826" s="18" t="s">
        <v>157</v>
      </c>
      <c r="D826" s="18">
        <v>12</v>
      </c>
      <c r="E826" s="17">
        <v>65</v>
      </c>
      <c r="F826" s="17">
        <v>2365</v>
      </c>
      <c r="G826" s="17">
        <v>2711</v>
      </c>
      <c r="H826" s="23">
        <f t="shared" si="12"/>
        <v>0.8723718185171524</v>
      </c>
      <c r="I826" s="17" t="s">
        <v>276</v>
      </c>
    </row>
    <row r="827" spans="1:9" x14ac:dyDescent="0.3">
      <c r="A827" s="18">
        <v>84</v>
      </c>
      <c r="B827" s="40">
        <v>45548</v>
      </c>
      <c r="C827" s="18" t="s">
        <v>375</v>
      </c>
      <c r="D827" s="18">
        <v>13</v>
      </c>
      <c r="E827" s="17">
        <v>38</v>
      </c>
      <c r="F827" s="17">
        <v>745</v>
      </c>
      <c r="G827" s="17">
        <v>1029</v>
      </c>
      <c r="H827" s="23">
        <f t="shared" si="12"/>
        <v>0.7240038872691934</v>
      </c>
      <c r="I827" s="17" t="s">
        <v>276</v>
      </c>
    </row>
    <row r="828" spans="1:9" x14ac:dyDescent="0.3">
      <c r="A828" s="18">
        <v>84</v>
      </c>
      <c r="B828" s="40">
        <v>45548</v>
      </c>
      <c r="C828" s="18" t="s">
        <v>344</v>
      </c>
      <c r="D828" s="18">
        <v>14</v>
      </c>
      <c r="E828" s="17">
        <v>37</v>
      </c>
      <c r="F828" s="17">
        <v>428</v>
      </c>
      <c r="G828" s="17">
        <v>622</v>
      </c>
      <c r="H828" s="23">
        <f t="shared" si="12"/>
        <v>0.68810289389067525</v>
      </c>
      <c r="I828" s="17" t="s">
        <v>278</v>
      </c>
    </row>
    <row r="829" spans="1:9" x14ac:dyDescent="0.3">
      <c r="A829" s="18">
        <v>84</v>
      </c>
      <c r="B829" s="40">
        <v>45548</v>
      </c>
      <c r="C829" s="18" t="s">
        <v>131</v>
      </c>
      <c r="D829" s="18">
        <v>15</v>
      </c>
      <c r="E829" s="17">
        <v>22</v>
      </c>
      <c r="F829" s="17">
        <v>171</v>
      </c>
      <c r="G829" s="17">
        <v>236</v>
      </c>
      <c r="H829" s="23">
        <f t="shared" si="12"/>
        <v>0.72457627118644063</v>
      </c>
      <c r="I829" s="17" t="s">
        <v>278</v>
      </c>
    </row>
    <row r="830" spans="1:9" x14ac:dyDescent="0.3">
      <c r="A830" s="18">
        <v>84</v>
      </c>
      <c r="B830" s="40">
        <v>45548</v>
      </c>
      <c r="C830" s="18" t="s">
        <v>450</v>
      </c>
      <c r="D830" s="18">
        <v>16</v>
      </c>
      <c r="E830" s="17">
        <v>18</v>
      </c>
      <c r="F830" s="17">
        <v>167</v>
      </c>
      <c r="G830" s="17">
        <v>349</v>
      </c>
      <c r="H830" s="23">
        <f t="shared" si="12"/>
        <v>0.47851002865329512</v>
      </c>
      <c r="I830" s="17" t="s">
        <v>430</v>
      </c>
    </row>
    <row r="831" spans="1:9" x14ac:dyDescent="0.3">
      <c r="A831" s="18">
        <v>84</v>
      </c>
      <c r="B831" s="40">
        <v>45548</v>
      </c>
      <c r="C831" s="18" t="s">
        <v>125</v>
      </c>
      <c r="D831" s="18">
        <v>17</v>
      </c>
      <c r="E831" s="17">
        <v>16</v>
      </c>
      <c r="F831" s="17">
        <v>283</v>
      </c>
      <c r="G831" s="17">
        <v>303</v>
      </c>
      <c r="H831" s="23">
        <f t="shared" si="12"/>
        <v>0.93399339933993397</v>
      </c>
      <c r="I831" s="17" t="s">
        <v>105</v>
      </c>
    </row>
    <row r="832" spans="1:9" x14ac:dyDescent="0.3">
      <c r="A832" s="18">
        <v>84</v>
      </c>
      <c r="B832" s="40">
        <v>45548</v>
      </c>
      <c r="C832" s="18" t="s">
        <v>481</v>
      </c>
      <c r="D832" s="18">
        <v>18</v>
      </c>
      <c r="E832" s="17">
        <v>14</v>
      </c>
      <c r="F832" s="17">
        <v>83</v>
      </c>
      <c r="G832" s="17">
        <v>155</v>
      </c>
      <c r="H832" s="23">
        <f t="shared" si="12"/>
        <v>0.53548387096774197</v>
      </c>
      <c r="I832" s="17" t="s">
        <v>125</v>
      </c>
    </row>
    <row r="833" spans="1:9" x14ac:dyDescent="0.3">
      <c r="A833" s="18">
        <v>84</v>
      </c>
      <c r="B833" s="40">
        <v>45548</v>
      </c>
      <c r="C833" s="18" t="s">
        <v>482</v>
      </c>
      <c r="D833" s="18">
        <v>19</v>
      </c>
      <c r="E833" s="17">
        <v>8</v>
      </c>
      <c r="F833" s="17">
        <v>29</v>
      </c>
      <c r="G833" s="17">
        <v>63</v>
      </c>
      <c r="H833" s="23">
        <f t="shared" si="12"/>
        <v>0.46031746031746029</v>
      </c>
      <c r="I833" s="17" t="s">
        <v>430</v>
      </c>
    </row>
    <row r="834" spans="1:9" x14ac:dyDescent="0.3">
      <c r="A834" s="18">
        <v>84</v>
      </c>
      <c r="B834" s="40">
        <v>45548</v>
      </c>
      <c r="C834" s="18" t="s">
        <v>483</v>
      </c>
      <c r="D834" s="18">
        <v>20</v>
      </c>
      <c r="E834" s="17">
        <v>7</v>
      </c>
      <c r="F834" s="17">
        <v>28</v>
      </c>
      <c r="G834" s="17">
        <v>73</v>
      </c>
      <c r="H834" s="23">
        <f t="shared" ref="H834:H897" si="13">F834/G834</f>
        <v>0.38356164383561642</v>
      </c>
      <c r="I834" s="17" t="s">
        <v>276</v>
      </c>
    </row>
    <row r="835" spans="1:9" x14ac:dyDescent="0.3">
      <c r="A835" s="18">
        <v>84</v>
      </c>
      <c r="B835" s="40">
        <v>45548</v>
      </c>
      <c r="C835" s="18" t="s">
        <v>421</v>
      </c>
      <c r="D835" s="18">
        <v>21</v>
      </c>
      <c r="E835" s="17">
        <v>6</v>
      </c>
      <c r="F835" s="17">
        <v>67</v>
      </c>
      <c r="G835" s="17">
        <v>68</v>
      </c>
      <c r="H835" s="23">
        <f t="shared" si="13"/>
        <v>0.98529411764705888</v>
      </c>
      <c r="I835" s="17" t="s">
        <v>199</v>
      </c>
    </row>
    <row r="836" spans="1:9" x14ac:dyDescent="0.3">
      <c r="A836" s="18">
        <v>84</v>
      </c>
      <c r="B836" s="40">
        <v>45548</v>
      </c>
      <c r="C836" s="18" t="s">
        <v>484</v>
      </c>
      <c r="D836" s="18">
        <v>22</v>
      </c>
      <c r="E836" s="17">
        <v>5</v>
      </c>
      <c r="F836" s="17">
        <v>20</v>
      </c>
      <c r="G836" s="17">
        <v>37</v>
      </c>
      <c r="H836" s="23">
        <f t="shared" si="13"/>
        <v>0.54054054054054057</v>
      </c>
      <c r="I836" s="17" t="s">
        <v>164</v>
      </c>
    </row>
    <row r="837" spans="1:9" x14ac:dyDescent="0.3">
      <c r="A837" s="18">
        <v>84</v>
      </c>
      <c r="B837" s="40">
        <v>45548</v>
      </c>
      <c r="C837" s="18" t="s">
        <v>130</v>
      </c>
      <c r="D837" s="18">
        <v>23</v>
      </c>
      <c r="E837" s="17">
        <v>4</v>
      </c>
      <c r="F837" s="17">
        <v>18</v>
      </c>
      <c r="G837" s="17">
        <v>36</v>
      </c>
      <c r="H837" s="23">
        <f t="shared" si="13"/>
        <v>0.5</v>
      </c>
      <c r="I837" s="17" t="s">
        <v>421</v>
      </c>
    </row>
    <row r="838" spans="1:9" x14ac:dyDescent="0.3">
      <c r="A838" s="18">
        <v>85</v>
      </c>
      <c r="B838" s="40">
        <v>45555</v>
      </c>
      <c r="C838" s="18" t="s">
        <v>276</v>
      </c>
      <c r="D838" s="18">
        <v>1</v>
      </c>
      <c r="E838" s="17">
        <v>120</v>
      </c>
      <c r="F838" s="17">
        <v>17729</v>
      </c>
      <c r="G838" s="17">
        <v>16816</v>
      </c>
      <c r="H838" s="23">
        <f t="shared" si="13"/>
        <v>1.0542935299714558</v>
      </c>
      <c r="I838" s="17" t="s">
        <v>109</v>
      </c>
    </row>
    <row r="839" spans="1:9" x14ac:dyDescent="0.3">
      <c r="A839" s="18">
        <v>85</v>
      </c>
      <c r="B839" s="40">
        <v>45555</v>
      </c>
      <c r="C839" s="18" t="s">
        <v>115</v>
      </c>
      <c r="D839" s="18">
        <v>2</v>
      </c>
      <c r="E839" s="17">
        <v>120</v>
      </c>
      <c r="F839" s="17">
        <v>4301</v>
      </c>
      <c r="G839" s="17">
        <v>3332</v>
      </c>
      <c r="H839" s="23">
        <f t="shared" si="13"/>
        <v>1.2908163265306123</v>
      </c>
      <c r="I839" s="17" t="s">
        <v>276</v>
      </c>
    </row>
    <row r="840" spans="1:9" x14ac:dyDescent="0.3">
      <c r="A840" s="18">
        <v>85</v>
      </c>
      <c r="B840" s="40">
        <v>45555</v>
      </c>
      <c r="C840" s="18" t="s">
        <v>109</v>
      </c>
      <c r="D840" s="18">
        <v>3</v>
      </c>
      <c r="E840" s="17">
        <v>120</v>
      </c>
      <c r="F840" s="17">
        <v>6597</v>
      </c>
      <c r="G840" s="17">
        <v>5878</v>
      </c>
      <c r="H840" s="23">
        <f t="shared" si="13"/>
        <v>1.1223205171827153</v>
      </c>
      <c r="I840" s="17" t="s">
        <v>276</v>
      </c>
    </row>
    <row r="841" spans="1:9" x14ac:dyDescent="0.3">
      <c r="A841" s="18">
        <v>85</v>
      </c>
      <c r="B841" s="40">
        <v>45555</v>
      </c>
      <c r="C841" s="18" t="s">
        <v>371</v>
      </c>
      <c r="D841" s="18">
        <v>4</v>
      </c>
      <c r="E841" s="17">
        <v>120</v>
      </c>
      <c r="F841" s="17">
        <v>3463</v>
      </c>
      <c r="G841" s="17">
        <v>2472</v>
      </c>
      <c r="H841" s="23">
        <f t="shared" si="13"/>
        <v>1.4008899676375404</v>
      </c>
      <c r="I841" s="17" t="s">
        <v>276</v>
      </c>
    </row>
    <row r="842" spans="1:9" x14ac:dyDescent="0.3">
      <c r="A842" s="18">
        <v>85</v>
      </c>
      <c r="B842" s="40">
        <v>45555</v>
      </c>
      <c r="C842" s="18" t="s">
        <v>235</v>
      </c>
      <c r="D842" s="18">
        <v>5</v>
      </c>
      <c r="E842" s="17">
        <v>120</v>
      </c>
      <c r="F842" s="17">
        <v>4245</v>
      </c>
      <c r="G842" s="17">
        <v>4721</v>
      </c>
      <c r="H842" s="23">
        <f t="shared" si="13"/>
        <v>0.89917390383393347</v>
      </c>
      <c r="I842" s="17" t="s">
        <v>276</v>
      </c>
    </row>
    <row r="843" spans="1:9" x14ac:dyDescent="0.3">
      <c r="A843" s="18">
        <v>85</v>
      </c>
      <c r="B843" s="40">
        <v>45555</v>
      </c>
      <c r="C843" s="18" t="s">
        <v>458</v>
      </c>
      <c r="D843" s="18">
        <v>6</v>
      </c>
      <c r="E843" s="17">
        <v>102</v>
      </c>
      <c r="F843" s="17">
        <v>2462</v>
      </c>
      <c r="G843" s="17">
        <v>2538</v>
      </c>
      <c r="H843" s="23">
        <f t="shared" si="13"/>
        <v>0.9700551615445232</v>
      </c>
      <c r="I843" s="17" t="s">
        <v>276</v>
      </c>
    </row>
    <row r="844" spans="1:9" x14ac:dyDescent="0.3">
      <c r="A844" s="18">
        <v>85</v>
      </c>
      <c r="B844" s="40">
        <v>45555</v>
      </c>
      <c r="C844" s="18" t="s">
        <v>485</v>
      </c>
      <c r="D844" s="18">
        <v>7</v>
      </c>
      <c r="E844" s="17">
        <v>88</v>
      </c>
      <c r="F844" s="17">
        <v>1912</v>
      </c>
      <c r="G844" s="17">
        <v>2357</v>
      </c>
      <c r="H844" s="23">
        <f t="shared" si="13"/>
        <v>0.81120067882901992</v>
      </c>
      <c r="I844" s="17" t="s">
        <v>115</v>
      </c>
    </row>
    <row r="845" spans="1:9" x14ac:dyDescent="0.3">
      <c r="A845" s="18">
        <v>85</v>
      </c>
      <c r="B845" s="40">
        <v>45555</v>
      </c>
      <c r="C845" s="18" t="s">
        <v>278</v>
      </c>
      <c r="D845" s="18">
        <v>8</v>
      </c>
      <c r="E845" s="17">
        <v>68</v>
      </c>
      <c r="F845" s="17">
        <v>3142</v>
      </c>
      <c r="G845" s="17">
        <v>4001</v>
      </c>
      <c r="H845" s="23">
        <f t="shared" si="13"/>
        <v>0.78530367408147961</v>
      </c>
      <c r="I845" s="17" t="s">
        <v>276</v>
      </c>
    </row>
    <row r="846" spans="1:9" x14ac:dyDescent="0.3">
      <c r="A846" s="18">
        <v>85</v>
      </c>
      <c r="B846" s="40">
        <v>45555</v>
      </c>
      <c r="C846" s="18" t="s">
        <v>122</v>
      </c>
      <c r="D846" s="18">
        <v>9</v>
      </c>
      <c r="E846" s="17">
        <v>50</v>
      </c>
      <c r="F846" s="17">
        <v>281</v>
      </c>
      <c r="G846" s="17">
        <v>575</v>
      </c>
      <c r="H846" s="23">
        <f t="shared" si="13"/>
        <v>0.48869565217391303</v>
      </c>
      <c r="I846" s="17" t="s">
        <v>115</v>
      </c>
    </row>
    <row r="847" spans="1:9" x14ac:dyDescent="0.3">
      <c r="A847" s="18">
        <v>85</v>
      </c>
      <c r="B847" s="40">
        <v>45555</v>
      </c>
      <c r="C847" s="18" t="s">
        <v>421</v>
      </c>
      <c r="D847" s="18">
        <v>10</v>
      </c>
      <c r="E847" s="17">
        <v>49</v>
      </c>
      <c r="F847" s="17">
        <v>1545</v>
      </c>
      <c r="G847" s="17">
        <v>2047</v>
      </c>
      <c r="H847" s="23">
        <f t="shared" si="13"/>
        <v>0.75476306790425007</v>
      </c>
      <c r="I847" s="17" t="s">
        <v>278</v>
      </c>
    </row>
    <row r="848" spans="1:9" x14ac:dyDescent="0.3">
      <c r="A848" s="18">
        <v>85</v>
      </c>
      <c r="B848" s="40">
        <v>45555</v>
      </c>
      <c r="C848" s="18" t="s">
        <v>451</v>
      </c>
      <c r="D848" s="18">
        <v>11</v>
      </c>
      <c r="E848" s="17">
        <v>27</v>
      </c>
      <c r="F848" s="17">
        <v>78</v>
      </c>
      <c r="G848" s="17">
        <v>145</v>
      </c>
      <c r="H848" s="23">
        <f t="shared" si="13"/>
        <v>0.53793103448275859</v>
      </c>
      <c r="I848" s="17" t="s">
        <v>109</v>
      </c>
    </row>
    <row r="849" spans="1:9" x14ac:dyDescent="0.3">
      <c r="A849" s="18">
        <v>85</v>
      </c>
      <c r="B849" s="40">
        <v>45555</v>
      </c>
      <c r="C849" s="18" t="s">
        <v>343</v>
      </c>
      <c r="D849" s="18">
        <v>12</v>
      </c>
      <c r="E849" s="17">
        <v>26</v>
      </c>
      <c r="F849" s="17">
        <v>483</v>
      </c>
      <c r="G849" s="17">
        <v>651</v>
      </c>
      <c r="H849" s="23">
        <f t="shared" si="13"/>
        <v>0.74193548387096775</v>
      </c>
      <c r="I849" s="17" t="s">
        <v>276</v>
      </c>
    </row>
    <row r="850" spans="1:9" x14ac:dyDescent="0.3">
      <c r="A850" s="18">
        <v>85</v>
      </c>
      <c r="B850" s="40">
        <v>45555</v>
      </c>
      <c r="C850" s="18" t="s">
        <v>105</v>
      </c>
      <c r="D850" s="18">
        <v>13</v>
      </c>
      <c r="E850" s="17">
        <v>18</v>
      </c>
      <c r="F850" s="17">
        <v>105</v>
      </c>
      <c r="G850" s="17">
        <v>151</v>
      </c>
      <c r="H850" s="23">
        <f t="shared" si="13"/>
        <v>0.69536423841059603</v>
      </c>
      <c r="I850" s="17" t="s">
        <v>421</v>
      </c>
    </row>
    <row r="851" spans="1:9" x14ac:dyDescent="0.3">
      <c r="A851" s="18">
        <v>85</v>
      </c>
      <c r="B851" s="40">
        <v>45555</v>
      </c>
      <c r="C851" s="18" t="s">
        <v>108</v>
      </c>
      <c r="D851" s="18">
        <v>14</v>
      </c>
      <c r="E851" s="17">
        <v>18</v>
      </c>
      <c r="F851" s="17">
        <v>154</v>
      </c>
      <c r="G851" s="17">
        <v>331</v>
      </c>
      <c r="H851" s="23">
        <f t="shared" si="13"/>
        <v>0.46525679758308158</v>
      </c>
      <c r="I851" s="17" t="s">
        <v>276</v>
      </c>
    </row>
    <row r="852" spans="1:9" x14ac:dyDescent="0.3">
      <c r="A852" s="18">
        <v>85</v>
      </c>
      <c r="B852" s="40">
        <v>45555</v>
      </c>
      <c r="C852" s="18" t="s">
        <v>130</v>
      </c>
      <c r="D852" s="18">
        <v>15</v>
      </c>
      <c r="E852" s="17">
        <v>13</v>
      </c>
      <c r="F852" s="17">
        <v>111</v>
      </c>
      <c r="G852" s="17">
        <v>181</v>
      </c>
      <c r="H852" s="23">
        <f t="shared" si="13"/>
        <v>0.61325966850828728</v>
      </c>
      <c r="I852" s="17" t="s">
        <v>276</v>
      </c>
    </row>
    <row r="853" spans="1:9" x14ac:dyDescent="0.3">
      <c r="A853" s="18">
        <v>85</v>
      </c>
      <c r="B853" s="40">
        <v>45555</v>
      </c>
      <c r="C853" s="18" t="s">
        <v>125</v>
      </c>
      <c r="D853" s="18">
        <v>16</v>
      </c>
      <c r="E853" s="17">
        <v>12</v>
      </c>
      <c r="F853" s="17">
        <v>86</v>
      </c>
      <c r="G853" s="17">
        <v>116</v>
      </c>
      <c r="H853" s="23">
        <f t="shared" si="13"/>
        <v>0.74137931034482762</v>
      </c>
      <c r="I853" s="17" t="s">
        <v>421</v>
      </c>
    </row>
    <row r="854" spans="1:9" x14ac:dyDescent="0.3">
      <c r="A854" s="18">
        <v>85</v>
      </c>
      <c r="B854" s="40">
        <v>45555</v>
      </c>
      <c r="C854" s="18" t="s">
        <v>140</v>
      </c>
      <c r="D854" s="18">
        <v>17</v>
      </c>
      <c r="E854" s="17">
        <v>9</v>
      </c>
      <c r="F854" s="17">
        <v>67</v>
      </c>
      <c r="G854" s="17">
        <v>75</v>
      </c>
      <c r="H854" s="23">
        <f t="shared" si="13"/>
        <v>0.89333333333333331</v>
      </c>
      <c r="I854" s="17" t="s">
        <v>122</v>
      </c>
    </row>
    <row r="855" spans="1:9" x14ac:dyDescent="0.3">
      <c r="A855" s="18">
        <v>85</v>
      </c>
      <c r="B855" s="40">
        <v>45555</v>
      </c>
      <c r="C855" s="18" t="s">
        <v>166</v>
      </c>
      <c r="D855" s="18">
        <v>18</v>
      </c>
      <c r="E855" s="17">
        <v>9</v>
      </c>
      <c r="F855" s="17">
        <v>78</v>
      </c>
      <c r="G855" s="17">
        <v>104</v>
      </c>
      <c r="H855" s="23">
        <f t="shared" si="13"/>
        <v>0.75</v>
      </c>
      <c r="I855" s="17" t="s">
        <v>125</v>
      </c>
    </row>
    <row r="856" spans="1:9" x14ac:dyDescent="0.3">
      <c r="A856" s="18">
        <v>85</v>
      </c>
      <c r="B856" s="40">
        <v>45555</v>
      </c>
      <c r="C856" s="18" t="s">
        <v>486</v>
      </c>
      <c r="D856" s="18">
        <v>19</v>
      </c>
      <c r="E856" s="17">
        <v>9</v>
      </c>
      <c r="F856" s="17">
        <v>36</v>
      </c>
      <c r="G856" s="17">
        <v>33</v>
      </c>
      <c r="H856" s="23">
        <f t="shared" si="13"/>
        <v>1.0909090909090908</v>
      </c>
      <c r="I856" s="17" t="s">
        <v>421</v>
      </c>
    </row>
    <row r="857" spans="1:9" x14ac:dyDescent="0.3">
      <c r="A857" s="18">
        <v>85</v>
      </c>
      <c r="B857" s="40">
        <v>45555</v>
      </c>
      <c r="C857" s="18" t="s">
        <v>450</v>
      </c>
      <c r="D857" s="18">
        <v>20</v>
      </c>
      <c r="E857" s="17">
        <v>9</v>
      </c>
      <c r="F857" s="17">
        <v>56</v>
      </c>
      <c r="G857" s="17">
        <v>72</v>
      </c>
      <c r="H857" s="23">
        <f t="shared" si="13"/>
        <v>0.77777777777777779</v>
      </c>
      <c r="I857" s="17" t="s">
        <v>463</v>
      </c>
    </row>
    <row r="858" spans="1:9" x14ac:dyDescent="0.3">
      <c r="A858" s="18">
        <v>85</v>
      </c>
      <c r="B858" s="40">
        <v>45555</v>
      </c>
      <c r="C858" s="18" t="s">
        <v>463</v>
      </c>
      <c r="D858" s="18">
        <v>21</v>
      </c>
      <c r="E858" s="17">
        <v>9</v>
      </c>
      <c r="F858" s="17">
        <v>65</v>
      </c>
      <c r="G858" s="17">
        <v>91</v>
      </c>
      <c r="H858" s="23">
        <f t="shared" si="13"/>
        <v>0.7142857142857143</v>
      </c>
      <c r="I858" s="17" t="s">
        <v>450</v>
      </c>
    </row>
    <row r="859" spans="1:9" x14ac:dyDescent="0.3">
      <c r="A859" s="18">
        <v>85</v>
      </c>
      <c r="B859" s="40">
        <v>45555</v>
      </c>
      <c r="C859" s="18" t="s">
        <v>427</v>
      </c>
      <c r="D859" s="18">
        <v>22</v>
      </c>
      <c r="E859" s="17">
        <v>8</v>
      </c>
      <c r="F859" s="17">
        <v>42</v>
      </c>
      <c r="G859" s="17">
        <v>92</v>
      </c>
      <c r="H859" s="23">
        <f t="shared" si="13"/>
        <v>0.45652173913043476</v>
      </c>
      <c r="I859" s="17" t="s">
        <v>430</v>
      </c>
    </row>
    <row r="860" spans="1:9" x14ac:dyDescent="0.3">
      <c r="A860" s="18">
        <v>85</v>
      </c>
      <c r="B860" s="40">
        <v>45555</v>
      </c>
      <c r="C860" s="18" t="s">
        <v>468</v>
      </c>
      <c r="D860" s="18">
        <v>23</v>
      </c>
      <c r="E860" s="17">
        <v>4</v>
      </c>
      <c r="F860" s="17">
        <v>13</v>
      </c>
      <c r="G860" s="17">
        <v>26</v>
      </c>
      <c r="H860" s="23">
        <f t="shared" si="13"/>
        <v>0.5</v>
      </c>
      <c r="I860" s="17" t="s">
        <v>140</v>
      </c>
    </row>
    <row r="861" spans="1:9" x14ac:dyDescent="0.3">
      <c r="A861" s="18">
        <v>86</v>
      </c>
      <c r="B861" s="40">
        <v>45562</v>
      </c>
      <c r="C861" s="18" t="s">
        <v>276</v>
      </c>
      <c r="D861" s="18">
        <v>1</v>
      </c>
      <c r="E861" s="17">
        <v>89</v>
      </c>
      <c r="F861" s="17">
        <v>8584</v>
      </c>
      <c r="G861" s="17">
        <v>7122</v>
      </c>
      <c r="H861" s="23">
        <f t="shared" si="13"/>
        <v>1.2052794158944118</v>
      </c>
      <c r="I861" s="17" t="s">
        <v>131</v>
      </c>
    </row>
    <row r="862" spans="1:9" x14ac:dyDescent="0.3">
      <c r="A862" s="18">
        <v>86</v>
      </c>
      <c r="B862" s="40">
        <v>45562</v>
      </c>
      <c r="C862" s="18" t="s">
        <v>142</v>
      </c>
      <c r="D862" s="18">
        <v>2</v>
      </c>
      <c r="E862" s="17">
        <v>89</v>
      </c>
      <c r="F862" s="17">
        <v>2743</v>
      </c>
      <c r="G862" s="17">
        <v>2223</v>
      </c>
      <c r="H862" s="23">
        <f t="shared" si="13"/>
        <v>1.2339181286549707</v>
      </c>
      <c r="I862" s="17" t="s">
        <v>157</v>
      </c>
    </row>
    <row r="863" spans="1:9" x14ac:dyDescent="0.3">
      <c r="A863" s="18">
        <v>86</v>
      </c>
      <c r="B863" s="40">
        <v>45562</v>
      </c>
      <c r="C863" s="18" t="s">
        <v>108</v>
      </c>
      <c r="D863" s="18">
        <v>3</v>
      </c>
      <c r="E863" s="17">
        <v>89</v>
      </c>
      <c r="F863" s="17">
        <v>1436</v>
      </c>
      <c r="G863" s="17">
        <v>1646</v>
      </c>
      <c r="H863" s="23">
        <f t="shared" si="13"/>
        <v>0.87241798298906437</v>
      </c>
      <c r="I863" s="17" t="s">
        <v>140</v>
      </c>
    </row>
    <row r="864" spans="1:9" x14ac:dyDescent="0.3">
      <c r="A864" s="18">
        <v>86</v>
      </c>
      <c r="B864" s="40">
        <v>45562</v>
      </c>
      <c r="C864" s="18" t="s">
        <v>105</v>
      </c>
      <c r="D864" s="18">
        <v>4</v>
      </c>
      <c r="E864" s="17">
        <v>89</v>
      </c>
      <c r="F864" s="17">
        <v>4075</v>
      </c>
      <c r="G864" s="17">
        <v>3283</v>
      </c>
      <c r="H864" s="23">
        <f t="shared" si="13"/>
        <v>1.2412427657630216</v>
      </c>
      <c r="I864" s="17" t="s">
        <v>276</v>
      </c>
    </row>
    <row r="865" spans="1:9" x14ac:dyDescent="0.3">
      <c r="A865" s="18">
        <v>86</v>
      </c>
      <c r="B865" s="40">
        <v>45562</v>
      </c>
      <c r="C865" s="18" t="s">
        <v>140</v>
      </c>
      <c r="D865" s="18">
        <v>5</v>
      </c>
      <c r="E865" s="17">
        <v>89</v>
      </c>
      <c r="F865" s="17">
        <v>5106</v>
      </c>
      <c r="G865" s="17">
        <v>6126</v>
      </c>
      <c r="H865" s="23">
        <f t="shared" si="13"/>
        <v>0.83349657198824678</v>
      </c>
      <c r="I865" s="17" t="s">
        <v>276</v>
      </c>
    </row>
    <row r="866" spans="1:9" x14ac:dyDescent="0.3">
      <c r="A866" s="18">
        <v>86</v>
      </c>
      <c r="B866" s="40">
        <v>45562</v>
      </c>
      <c r="C866" s="18" t="s">
        <v>131</v>
      </c>
      <c r="D866" s="18">
        <v>6</v>
      </c>
      <c r="E866" s="17">
        <v>82</v>
      </c>
      <c r="F866" s="17">
        <v>3536</v>
      </c>
      <c r="G866" s="17">
        <v>3503</v>
      </c>
      <c r="H866" s="23">
        <f t="shared" si="13"/>
        <v>1.0094204967170997</v>
      </c>
      <c r="I866" s="17" t="s">
        <v>276</v>
      </c>
    </row>
    <row r="867" spans="1:9" x14ac:dyDescent="0.3">
      <c r="A867" s="18">
        <v>86</v>
      </c>
      <c r="B867" s="40">
        <v>45562</v>
      </c>
      <c r="C867" s="18" t="s">
        <v>421</v>
      </c>
      <c r="D867" s="18">
        <v>7</v>
      </c>
      <c r="E867" s="17">
        <v>75</v>
      </c>
      <c r="F867" s="17">
        <v>3511</v>
      </c>
      <c r="G867" s="17">
        <v>3089</v>
      </c>
      <c r="H867" s="23">
        <f t="shared" si="13"/>
        <v>1.136613790870832</v>
      </c>
      <c r="I867" s="17" t="s">
        <v>276</v>
      </c>
    </row>
    <row r="868" spans="1:9" x14ac:dyDescent="0.3">
      <c r="A868" s="18">
        <v>86</v>
      </c>
      <c r="B868" s="40">
        <v>45562</v>
      </c>
      <c r="C868" s="18" t="s">
        <v>109</v>
      </c>
      <c r="D868" s="18">
        <v>8</v>
      </c>
      <c r="E868" s="17">
        <v>54</v>
      </c>
      <c r="F868" s="17">
        <v>695</v>
      </c>
      <c r="G868" s="17">
        <v>944</v>
      </c>
      <c r="H868" s="23">
        <f t="shared" si="13"/>
        <v>0.73622881355932202</v>
      </c>
      <c r="I868" s="17" t="s">
        <v>140</v>
      </c>
    </row>
    <row r="869" spans="1:9" x14ac:dyDescent="0.3">
      <c r="A869" s="18">
        <v>86</v>
      </c>
      <c r="B869" s="40">
        <v>45562</v>
      </c>
      <c r="C869" s="18" t="s">
        <v>125</v>
      </c>
      <c r="D869" s="18">
        <v>9</v>
      </c>
      <c r="E869" s="17">
        <v>46</v>
      </c>
      <c r="F869" s="17">
        <v>565</v>
      </c>
      <c r="G869" s="17">
        <v>482</v>
      </c>
      <c r="H869" s="23">
        <f t="shared" si="13"/>
        <v>1.1721991701244814</v>
      </c>
      <c r="I869" s="17" t="s">
        <v>140</v>
      </c>
    </row>
    <row r="870" spans="1:9" x14ac:dyDescent="0.3">
      <c r="A870" s="18">
        <v>86</v>
      </c>
      <c r="B870" s="40">
        <v>45562</v>
      </c>
      <c r="C870" s="18" t="s">
        <v>430</v>
      </c>
      <c r="D870" s="18">
        <v>10</v>
      </c>
      <c r="E870" s="17">
        <v>38</v>
      </c>
      <c r="F870" s="17">
        <v>523</v>
      </c>
      <c r="G870" s="17">
        <v>766</v>
      </c>
      <c r="H870" s="23">
        <f t="shared" si="13"/>
        <v>0.68276762402088775</v>
      </c>
      <c r="I870" s="17" t="s">
        <v>140</v>
      </c>
    </row>
    <row r="871" spans="1:9" x14ac:dyDescent="0.3">
      <c r="A871" s="18">
        <v>86</v>
      </c>
      <c r="B871" s="40">
        <v>45562</v>
      </c>
      <c r="C871" s="18" t="s">
        <v>468</v>
      </c>
      <c r="D871" s="18">
        <v>11</v>
      </c>
      <c r="E871" s="17">
        <v>21</v>
      </c>
      <c r="F871" s="17">
        <v>315</v>
      </c>
      <c r="G871" s="17">
        <v>404</v>
      </c>
      <c r="H871" s="23">
        <f t="shared" si="13"/>
        <v>0.77970297029702973</v>
      </c>
      <c r="I871" s="17" t="s">
        <v>421</v>
      </c>
    </row>
    <row r="872" spans="1:9" x14ac:dyDescent="0.3">
      <c r="A872" s="18">
        <v>86</v>
      </c>
      <c r="B872" s="40">
        <v>45562</v>
      </c>
      <c r="C872" s="18" t="s">
        <v>487</v>
      </c>
      <c r="D872" s="18">
        <v>12</v>
      </c>
      <c r="E872" s="17">
        <v>18</v>
      </c>
      <c r="F872" s="17">
        <v>75</v>
      </c>
      <c r="G872" s="17">
        <v>178</v>
      </c>
      <c r="H872" s="23">
        <f t="shared" si="13"/>
        <v>0.42134831460674155</v>
      </c>
      <c r="I872" s="17" t="s">
        <v>109</v>
      </c>
    </row>
    <row r="873" spans="1:9" x14ac:dyDescent="0.3">
      <c r="A873" s="18">
        <v>86</v>
      </c>
      <c r="B873" s="40">
        <v>45562</v>
      </c>
      <c r="C873" s="18" t="s">
        <v>396</v>
      </c>
      <c r="D873" s="18">
        <v>13</v>
      </c>
      <c r="E873" s="17">
        <v>15</v>
      </c>
      <c r="F873" s="17">
        <v>55</v>
      </c>
      <c r="G873" s="17">
        <v>122</v>
      </c>
      <c r="H873" s="23">
        <f t="shared" si="13"/>
        <v>0.45081967213114754</v>
      </c>
      <c r="I873" s="17" t="s">
        <v>276</v>
      </c>
    </row>
    <row r="874" spans="1:9" x14ac:dyDescent="0.3">
      <c r="A874" s="18">
        <v>86</v>
      </c>
      <c r="B874" s="40">
        <v>45562</v>
      </c>
      <c r="C874" s="18" t="s">
        <v>344</v>
      </c>
      <c r="D874" s="18">
        <v>14</v>
      </c>
      <c r="E874" s="17">
        <v>10</v>
      </c>
      <c r="F874" s="17">
        <v>71</v>
      </c>
      <c r="G874" s="17">
        <v>121</v>
      </c>
      <c r="H874" s="23">
        <f t="shared" si="13"/>
        <v>0.58677685950413228</v>
      </c>
      <c r="I874" s="17" t="s">
        <v>108</v>
      </c>
    </row>
    <row r="875" spans="1:9" x14ac:dyDescent="0.3">
      <c r="A875" s="18">
        <v>86</v>
      </c>
      <c r="B875" s="40">
        <v>45562</v>
      </c>
      <c r="C875" s="18" t="s">
        <v>164</v>
      </c>
      <c r="D875" s="18">
        <v>15</v>
      </c>
      <c r="E875" s="17">
        <v>10</v>
      </c>
      <c r="F875" s="17">
        <v>70</v>
      </c>
      <c r="G875" s="17">
        <v>85</v>
      </c>
      <c r="H875" s="23">
        <f t="shared" si="13"/>
        <v>0.82352941176470584</v>
      </c>
      <c r="I875" s="17" t="s">
        <v>488</v>
      </c>
    </row>
    <row r="876" spans="1:9" x14ac:dyDescent="0.3">
      <c r="A876" s="18">
        <v>86</v>
      </c>
      <c r="B876" s="40">
        <v>45562</v>
      </c>
      <c r="C876" s="18" t="s">
        <v>489</v>
      </c>
      <c r="D876" s="18">
        <v>16</v>
      </c>
      <c r="E876" s="17">
        <v>9</v>
      </c>
      <c r="F876" s="17">
        <v>37</v>
      </c>
      <c r="G876" s="17">
        <v>80</v>
      </c>
      <c r="H876" s="23">
        <f t="shared" si="13"/>
        <v>0.46250000000000002</v>
      </c>
      <c r="I876" s="17" t="s">
        <v>490</v>
      </c>
    </row>
    <row r="877" spans="1:9" x14ac:dyDescent="0.3">
      <c r="A877" s="18">
        <v>86</v>
      </c>
      <c r="B877" s="40">
        <v>45562</v>
      </c>
      <c r="C877" s="18" t="s">
        <v>491</v>
      </c>
      <c r="D877" s="18">
        <v>17</v>
      </c>
      <c r="E877" s="17">
        <v>9</v>
      </c>
      <c r="F877" s="17">
        <v>43</v>
      </c>
      <c r="G877" s="17">
        <v>94</v>
      </c>
      <c r="H877" s="23">
        <f t="shared" si="13"/>
        <v>0.45744680851063829</v>
      </c>
      <c r="I877" s="17" t="s">
        <v>142</v>
      </c>
    </row>
    <row r="878" spans="1:9" x14ac:dyDescent="0.3">
      <c r="A878" s="18">
        <v>86</v>
      </c>
      <c r="B878" s="40">
        <v>45562</v>
      </c>
      <c r="C878" s="18" t="s">
        <v>492</v>
      </c>
      <c r="D878" s="18">
        <v>18</v>
      </c>
      <c r="E878" s="17">
        <v>8</v>
      </c>
      <c r="F878" s="17">
        <v>44</v>
      </c>
      <c r="G878" s="17">
        <v>79</v>
      </c>
      <c r="H878" s="23">
        <f t="shared" si="13"/>
        <v>0.55696202531645567</v>
      </c>
      <c r="I878" s="17" t="s">
        <v>421</v>
      </c>
    </row>
    <row r="879" spans="1:9" x14ac:dyDescent="0.3">
      <c r="A879" s="18">
        <v>86</v>
      </c>
      <c r="B879" s="40">
        <v>45562</v>
      </c>
      <c r="C879" s="18" t="s">
        <v>451</v>
      </c>
      <c r="D879" s="18">
        <v>19</v>
      </c>
      <c r="E879" s="17">
        <v>7</v>
      </c>
      <c r="F879" s="17">
        <v>70</v>
      </c>
      <c r="G879" s="17">
        <v>97</v>
      </c>
      <c r="H879" s="23">
        <f t="shared" si="13"/>
        <v>0.72164948453608246</v>
      </c>
      <c r="I879" s="17" t="s">
        <v>276</v>
      </c>
    </row>
    <row r="880" spans="1:9" x14ac:dyDescent="0.3">
      <c r="A880" s="18">
        <v>86</v>
      </c>
      <c r="B880" s="40">
        <v>45562</v>
      </c>
      <c r="C880" s="18" t="s">
        <v>493</v>
      </c>
      <c r="D880" s="18">
        <v>20</v>
      </c>
      <c r="E880" s="17">
        <v>6</v>
      </c>
      <c r="F880" s="17">
        <v>64</v>
      </c>
      <c r="G880" s="17">
        <v>75</v>
      </c>
      <c r="H880" s="23">
        <f t="shared" si="13"/>
        <v>0.85333333333333339</v>
      </c>
      <c r="I880" s="17" t="s">
        <v>131</v>
      </c>
    </row>
    <row r="881" spans="1:9" x14ac:dyDescent="0.3">
      <c r="A881" s="18">
        <v>86</v>
      </c>
      <c r="B881" s="40">
        <v>45562</v>
      </c>
      <c r="C881" s="18" t="s">
        <v>494</v>
      </c>
      <c r="D881" s="18">
        <v>21</v>
      </c>
      <c r="E881" s="17">
        <v>5</v>
      </c>
      <c r="F881" s="17">
        <v>19</v>
      </c>
      <c r="G881" s="17">
        <v>46</v>
      </c>
      <c r="H881" s="23">
        <f t="shared" si="13"/>
        <v>0.41304347826086957</v>
      </c>
      <c r="I881" s="17" t="s">
        <v>131</v>
      </c>
    </row>
    <row r="882" spans="1:9" x14ac:dyDescent="0.3">
      <c r="A882" s="18">
        <v>86</v>
      </c>
      <c r="B882" s="40">
        <v>45562</v>
      </c>
      <c r="C882" s="18" t="s">
        <v>450</v>
      </c>
      <c r="D882" s="18">
        <v>22</v>
      </c>
      <c r="E882" s="17">
        <v>4</v>
      </c>
      <c r="F882" s="17">
        <v>28</v>
      </c>
      <c r="G882" s="17">
        <v>49</v>
      </c>
      <c r="H882" s="23">
        <f t="shared" si="13"/>
        <v>0.5714285714285714</v>
      </c>
      <c r="I882" s="17" t="s">
        <v>108</v>
      </c>
    </row>
    <row r="883" spans="1:9" x14ac:dyDescent="0.3">
      <c r="A883" s="18">
        <v>86</v>
      </c>
      <c r="B883" s="40">
        <v>45562</v>
      </c>
      <c r="C883" s="18" t="s">
        <v>115</v>
      </c>
      <c r="D883" s="18">
        <v>23</v>
      </c>
      <c r="E883" s="17">
        <v>3</v>
      </c>
      <c r="F883" s="17">
        <v>16</v>
      </c>
      <c r="G883" s="17">
        <v>17</v>
      </c>
      <c r="H883" s="23">
        <f t="shared" si="13"/>
        <v>0.94117647058823528</v>
      </c>
      <c r="I883" s="17" t="s">
        <v>421</v>
      </c>
    </row>
    <row r="884" spans="1:9" x14ac:dyDescent="0.3">
      <c r="A884" s="18">
        <v>87</v>
      </c>
      <c r="B884" s="40">
        <v>45569</v>
      </c>
      <c r="C884" s="18" t="s">
        <v>495</v>
      </c>
      <c r="D884" s="18">
        <v>1</v>
      </c>
      <c r="E884" s="17">
        <v>167</v>
      </c>
      <c r="F884" s="17">
        <v>8875</v>
      </c>
      <c r="G884" s="17">
        <v>5780</v>
      </c>
      <c r="H884" s="23">
        <f t="shared" si="13"/>
        <v>1.5354671280276817</v>
      </c>
      <c r="I884" s="17" t="s">
        <v>276</v>
      </c>
    </row>
    <row r="885" spans="1:9" x14ac:dyDescent="0.3">
      <c r="A885" s="18">
        <v>87</v>
      </c>
      <c r="B885" s="40">
        <v>45569</v>
      </c>
      <c r="C885" s="18" t="s">
        <v>276</v>
      </c>
      <c r="D885" s="18">
        <v>2</v>
      </c>
      <c r="E885" s="17">
        <v>167</v>
      </c>
      <c r="F885" s="17">
        <v>13081</v>
      </c>
      <c r="G885" s="17">
        <v>10976</v>
      </c>
      <c r="H885" s="23">
        <f t="shared" si="13"/>
        <v>1.1917820699708455</v>
      </c>
      <c r="I885" s="17" t="s">
        <v>495</v>
      </c>
    </row>
    <row r="886" spans="1:9" x14ac:dyDescent="0.3">
      <c r="A886" s="18">
        <v>87</v>
      </c>
      <c r="B886" s="40">
        <v>45569</v>
      </c>
      <c r="C886" s="18" t="s">
        <v>329</v>
      </c>
      <c r="D886" s="18">
        <v>3</v>
      </c>
      <c r="E886" s="17">
        <v>158</v>
      </c>
      <c r="F886" s="17">
        <v>9348</v>
      </c>
      <c r="G886" s="17">
        <v>8323</v>
      </c>
      <c r="H886" s="23">
        <f t="shared" si="13"/>
        <v>1.1231527093596059</v>
      </c>
      <c r="I886" s="17" t="s">
        <v>358</v>
      </c>
    </row>
    <row r="887" spans="1:9" x14ac:dyDescent="0.3">
      <c r="A887" s="18">
        <v>87</v>
      </c>
      <c r="B887" s="40">
        <v>45569</v>
      </c>
      <c r="C887" s="18" t="s">
        <v>438</v>
      </c>
      <c r="D887" s="18">
        <v>4</v>
      </c>
      <c r="E887" s="17">
        <v>155</v>
      </c>
      <c r="F887" s="17">
        <v>8998</v>
      </c>
      <c r="G887" s="17">
        <v>7778</v>
      </c>
      <c r="H887" s="23">
        <f t="shared" si="13"/>
        <v>1.1568526613525327</v>
      </c>
      <c r="I887" s="17" t="s">
        <v>276</v>
      </c>
    </row>
    <row r="888" spans="1:9" x14ac:dyDescent="0.3">
      <c r="A888" s="18">
        <v>87</v>
      </c>
      <c r="B888" s="40">
        <v>45569</v>
      </c>
      <c r="C888" s="18" t="s">
        <v>130</v>
      </c>
      <c r="D888" s="18">
        <v>5</v>
      </c>
      <c r="E888" s="17">
        <v>155</v>
      </c>
      <c r="F888" s="17">
        <v>6918</v>
      </c>
      <c r="G888" s="17">
        <v>6770</v>
      </c>
      <c r="H888" s="23">
        <f t="shared" si="13"/>
        <v>1.0218611521418022</v>
      </c>
      <c r="I888" s="17" t="s">
        <v>109</v>
      </c>
    </row>
    <row r="889" spans="1:9" x14ac:dyDescent="0.3">
      <c r="A889" s="18">
        <v>87</v>
      </c>
      <c r="B889" s="40">
        <v>45569</v>
      </c>
      <c r="C889" s="18" t="s">
        <v>370</v>
      </c>
      <c r="D889" s="18">
        <v>6</v>
      </c>
      <c r="E889" s="17">
        <v>140</v>
      </c>
      <c r="F889" s="17">
        <v>4274</v>
      </c>
      <c r="G889" s="17">
        <v>4793</v>
      </c>
      <c r="H889" s="23">
        <f t="shared" si="13"/>
        <v>0.8917170874191529</v>
      </c>
      <c r="I889" s="17" t="s">
        <v>329</v>
      </c>
    </row>
    <row r="890" spans="1:9" x14ac:dyDescent="0.3">
      <c r="A890" s="18">
        <v>87</v>
      </c>
      <c r="B890" s="40">
        <v>45569</v>
      </c>
      <c r="C890" s="18" t="s">
        <v>496</v>
      </c>
      <c r="D890" s="18">
        <v>7</v>
      </c>
      <c r="E890" s="17">
        <v>122</v>
      </c>
      <c r="F890" s="17">
        <v>4506</v>
      </c>
      <c r="G890" s="17">
        <v>4562</v>
      </c>
      <c r="H890" s="23">
        <f t="shared" si="13"/>
        <v>0.98772468215694875</v>
      </c>
      <c r="I890" s="17" t="s">
        <v>329</v>
      </c>
    </row>
    <row r="891" spans="1:9" x14ac:dyDescent="0.3">
      <c r="A891" s="18">
        <v>87</v>
      </c>
      <c r="B891" s="40">
        <v>45569</v>
      </c>
      <c r="C891" s="18" t="s">
        <v>278</v>
      </c>
      <c r="D891" s="18">
        <v>8</v>
      </c>
      <c r="E891" s="17">
        <v>122</v>
      </c>
      <c r="F891" s="17">
        <v>5442</v>
      </c>
      <c r="G891" s="17">
        <v>5390</v>
      </c>
      <c r="H891" s="23">
        <f t="shared" si="13"/>
        <v>1.0096474953617811</v>
      </c>
      <c r="I891" s="17" t="s">
        <v>276</v>
      </c>
    </row>
    <row r="892" spans="1:9" x14ac:dyDescent="0.3">
      <c r="A892" s="18">
        <v>87</v>
      </c>
      <c r="B892" s="40">
        <v>45569</v>
      </c>
      <c r="C892" s="18" t="s">
        <v>375</v>
      </c>
      <c r="D892" s="18">
        <v>9</v>
      </c>
      <c r="E892" s="17">
        <v>89</v>
      </c>
      <c r="F892" s="17">
        <v>1904</v>
      </c>
      <c r="G892" s="17">
        <v>2757</v>
      </c>
      <c r="H892" s="23">
        <f t="shared" si="13"/>
        <v>0.69060573086688426</v>
      </c>
      <c r="I892" s="17" t="s">
        <v>329</v>
      </c>
    </row>
    <row r="893" spans="1:9" x14ac:dyDescent="0.3">
      <c r="A893" s="18">
        <v>87</v>
      </c>
      <c r="B893" s="40">
        <v>45569</v>
      </c>
      <c r="C893" s="18" t="s">
        <v>396</v>
      </c>
      <c r="D893" s="18">
        <v>10</v>
      </c>
      <c r="E893" s="17">
        <v>84</v>
      </c>
      <c r="F893" s="17">
        <v>806</v>
      </c>
      <c r="G893" s="17">
        <v>1100</v>
      </c>
      <c r="H893" s="23">
        <f t="shared" si="13"/>
        <v>0.73272727272727278</v>
      </c>
      <c r="I893" s="17" t="s">
        <v>109</v>
      </c>
    </row>
    <row r="894" spans="1:9" x14ac:dyDescent="0.3">
      <c r="A894" s="18">
        <v>87</v>
      </c>
      <c r="B894" s="40">
        <v>45569</v>
      </c>
      <c r="C894" s="18" t="s">
        <v>157</v>
      </c>
      <c r="D894" s="18">
        <v>11</v>
      </c>
      <c r="E894" s="17">
        <v>72</v>
      </c>
      <c r="F894" s="17">
        <v>1388</v>
      </c>
      <c r="G894" s="17">
        <v>2053</v>
      </c>
      <c r="H894" s="23">
        <f t="shared" si="13"/>
        <v>0.67608377983438872</v>
      </c>
      <c r="I894" s="17" t="s">
        <v>276</v>
      </c>
    </row>
    <row r="895" spans="1:9" x14ac:dyDescent="0.3">
      <c r="A895" s="18">
        <v>87</v>
      </c>
      <c r="B895" s="40">
        <v>45569</v>
      </c>
      <c r="C895" s="18" t="s">
        <v>131</v>
      </c>
      <c r="D895" s="18">
        <v>12</v>
      </c>
      <c r="E895" s="17">
        <v>62</v>
      </c>
      <c r="F895" s="17">
        <v>516</v>
      </c>
      <c r="G895" s="17">
        <v>787</v>
      </c>
      <c r="H895" s="23">
        <f t="shared" si="13"/>
        <v>0.65565438373570517</v>
      </c>
      <c r="I895" s="17" t="s">
        <v>157</v>
      </c>
    </row>
    <row r="896" spans="1:9" x14ac:dyDescent="0.3">
      <c r="A896" s="18">
        <v>87</v>
      </c>
      <c r="B896" s="40">
        <v>45569</v>
      </c>
      <c r="C896" s="18" t="s">
        <v>108</v>
      </c>
      <c r="D896" s="18">
        <v>13</v>
      </c>
      <c r="E896" s="17">
        <v>48</v>
      </c>
      <c r="F896" s="17">
        <v>1230</v>
      </c>
      <c r="G896" s="17">
        <v>2883</v>
      </c>
      <c r="H896" s="23">
        <f t="shared" si="13"/>
        <v>0.42663891779396462</v>
      </c>
      <c r="I896" s="17" t="s">
        <v>358</v>
      </c>
    </row>
    <row r="897" spans="1:9" x14ac:dyDescent="0.3">
      <c r="A897" s="18">
        <v>87</v>
      </c>
      <c r="B897" s="40">
        <v>45569</v>
      </c>
      <c r="C897" s="18" t="s">
        <v>115</v>
      </c>
      <c r="D897" s="18">
        <v>14</v>
      </c>
      <c r="E897" s="17">
        <v>11</v>
      </c>
      <c r="F897" s="17">
        <v>235</v>
      </c>
      <c r="G897" s="17">
        <v>312</v>
      </c>
      <c r="H897" s="23">
        <f t="shared" si="13"/>
        <v>0.75320512820512819</v>
      </c>
      <c r="I897" s="17" t="s">
        <v>396</v>
      </c>
    </row>
    <row r="898" spans="1:9" x14ac:dyDescent="0.3">
      <c r="A898" s="18">
        <v>87</v>
      </c>
      <c r="B898" s="40">
        <v>45569</v>
      </c>
      <c r="C898" s="18" t="s">
        <v>460</v>
      </c>
      <c r="D898" s="18">
        <v>15</v>
      </c>
      <c r="E898" s="17">
        <v>11</v>
      </c>
      <c r="F898" s="17">
        <v>122</v>
      </c>
      <c r="G898" s="17">
        <v>237</v>
      </c>
      <c r="H898" s="23">
        <f t="shared" ref="H898:H961" si="14">F898/G898</f>
        <v>0.51476793248945152</v>
      </c>
      <c r="I898" s="17" t="s">
        <v>109</v>
      </c>
    </row>
    <row r="899" spans="1:9" x14ac:dyDescent="0.3">
      <c r="A899" s="18">
        <v>87</v>
      </c>
      <c r="B899" s="40">
        <v>45569</v>
      </c>
      <c r="C899" s="18" t="s">
        <v>172</v>
      </c>
      <c r="D899" s="18">
        <v>16</v>
      </c>
      <c r="E899" s="17">
        <v>8</v>
      </c>
      <c r="F899" s="17">
        <v>46</v>
      </c>
      <c r="G899" s="17">
        <v>65</v>
      </c>
      <c r="H899" s="23">
        <f t="shared" si="14"/>
        <v>0.70769230769230773</v>
      </c>
      <c r="I899" s="17" t="s">
        <v>131</v>
      </c>
    </row>
    <row r="900" spans="1:9" x14ac:dyDescent="0.3">
      <c r="A900" s="18">
        <v>87</v>
      </c>
      <c r="B900" s="40">
        <v>45569</v>
      </c>
      <c r="C900" s="18" t="s">
        <v>419</v>
      </c>
      <c r="D900" s="18">
        <v>17</v>
      </c>
      <c r="E900" s="17">
        <v>8</v>
      </c>
      <c r="F900" s="17">
        <v>23</v>
      </c>
      <c r="G900" s="17">
        <v>67</v>
      </c>
      <c r="H900" s="23">
        <f t="shared" si="14"/>
        <v>0.34328358208955223</v>
      </c>
      <c r="I900" s="17" t="s">
        <v>108</v>
      </c>
    </row>
    <row r="901" spans="1:9" x14ac:dyDescent="0.3">
      <c r="A901" s="18">
        <v>87</v>
      </c>
      <c r="B901" s="40">
        <v>45569</v>
      </c>
      <c r="C901" s="18" t="s">
        <v>125</v>
      </c>
      <c r="D901" s="18">
        <v>18</v>
      </c>
      <c r="E901" s="17">
        <v>6</v>
      </c>
      <c r="F901" s="17">
        <v>28</v>
      </c>
      <c r="G901" s="17">
        <v>69</v>
      </c>
      <c r="H901" s="23">
        <f t="shared" si="14"/>
        <v>0.40579710144927539</v>
      </c>
      <c r="I901" s="17" t="s">
        <v>109</v>
      </c>
    </row>
    <row r="902" spans="1:9" x14ac:dyDescent="0.3">
      <c r="A902" s="18">
        <v>87</v>
      </c>
      <c r="B902" s="40">
        <v>45569</v>
      </c>
      <c r="C902" s="18" t="s">
        <v>451</v>
      </c>
      <c r="D902" s="18">
        <v>19</v>
      </c>
      <c r="E902" s="17">
        <v>6</v>
      </c>
      <c r="F902" s="17">
        <v>30</v>
      </c>
      <c r="G902" s="17">
        <v>49</v>
      </c>
      <c r="H902" s="23">
        <f t="shared" si="14"/>
        <v>0.61224489795918369</v>
      </c>
      <c r="I902" s="17" t="s">
        <v>130</v>
      </c>
    </row>
    <row r="903" spans="1:9" x14ac:dyDescent="0.3">
      <c r="A903" s="18">
        <v>87</v>
      </c>
      <c r="B903" s="40">
        <v>45569</v>
      </c>
      <c r="C903" s="18" t="s">
        <v>497</v>
      </c>
      <c r="D903" s="18">
        <v>20</v>
      </c>
      <c r="E903" s="17">
        <v>5</v>
      </c>
      <c r="F903" s="17">
        <v>19</v>
      </c>
      <c r="G903" s="17">
        <v>33</v>
      </c>
      <c r="H903" s="23">
        <f t="shared" si="14"/>
        <v>0.5757575757575758</v>
      </c>
      <c r="I903" s="17" t="s">
        <v>358</v>
      </c>
    </row>
    <row r="904" spans="1:9" x14ac:dyDescent="0.3">
      <c r="A904" s="18">
        <v>87</v>
      </c>
      <c r="B904" s="40">
        <v>45569</v>
      </c>
      <c r="C904" s="18" t="s">
        <v>498</v>
      </c>
      <c r="D904" s="18">
        <v>21</v>
      </c>
      <c r="E904" s="17">
        <v>4</v>
      </c>
      <c r="F904" s="17">
        <v>2</v>
      </c>
      <c r="G904" s="17">
        <v>10</v>
      </c>
      <c r="H904" s="23">
        <f t="shared" si="14"/>
        <v>0.2</v>
      </c>
      <c r="I904" s="17" t="s">
        <v>115</v>
      </c>
    </row>
    <row r="905" spans="1:9" x14ac:dyDescent="0.3">
      <c r="A905" s="18">
        <v>87</v>
      </c>
      <c r="B905" s="40">
        <v>45569</v>
      </c>
      <c r="C905" s="18" t="s">
        <v>499</v>
      </c>
      <c r="D905" s="18">
        <v>22</v>
      </c>
      <c r="E905" s="17">
        <v>4</v>
      </c>
      <c r="F905" s="17">
        <v>19</v>
      </c>
      <c r="G905" s="17">
        <v>34</v>
      </c>
      <c r="H905" s="23">
        <f t="shared" si="14"/>
        <v>0.55882352941176472</v>
      </c>
      <c r="I905" s="17" t="s">
        <v>330</v>
      </c>
    </row>
    <row r="906" spans="1:9" x14ac:dyDescent="0.3">
      <c r="D906" s="18">
        <v>1</v>
      </c>
      <c r="H906" s="23" t="e">
        <f t="shared" si="14"/>
        <v>#DIV/0!</v>
      </c>
    </row>
    <row r="907" spans="1:9" x14ac:dyDescent="0.3">
      <c r="D907" s="18">
        <v>2</v>
      </c>
      <c r="H907" s="23" t="e">
        <f t="shared" si="14"/>
        <v>#DIV/0!</v>
      </c>
    </row>
    <row r="908" spans="1:9" x14ac:dyDescent="0.3">
      <c r="D908" s="18">
        <v>3</v>
      </c>
      <c r="H908" s="23" t="e">
        <f t="shared" si="14"/>
        <v>#DIV/0!</v>
      </c>
    </row>
    <row r="909" spans="1:9" x14ac:dyDescent="0.3">
      <c r="D909" s="18">
        <v>4</v>
      </c>
      <c r="H909" s="23" t="e">
        <f t="shared" si="14"/>
        <v>#DIV/0!</v>
      </c>
    </row>
    <row r="910" spans="1:9" x14ac:dyDescent="0.3">
      <c r="D910" s="18">
        <v>5</v>
      </c>
      <c r="H910" s="23" t="e">
        <f t="shared" si="14"/>
        <v>#DIV/0!</v>
      </c>
    </row>
    <row r="911" spans="1:9" x14ac:dyDescent="0.3">
      <c r="D911" s="18">
        <v>6</v>
      </c>
      <c r="H911" s="23" t="e">
        <f t="shared" si="14"/>
        <v>#DIV/0!</v>
      </c>
    </row>
    <row r="912" spans="1:9" x14ac:dyDescent="0.3">
      <c r="D912" s="18">
        <v>7</v>
      </c>
      <c r="H912" s="23" t="e">
        <f t="shared" si="14"/>
        <v>#DIV/0!</v>
      </c>
    </row>
    <row r="913" spans="4:8" x14ac:dyDescent="0.3">
      <c r="D913" s="18">
        <v>8</v>
      </c>
      <c r="H913" s="23" t="e">
        <f t="shared" si="14"/>
        <v>#DIV/0!</v>
      </c>
    </row>
    <row r="914" spans="4:8" x14ac:dyDescent="0.3">
      <c r="D914" s="18">
        <v>9</v>
      </c>
      <c r="H914" s="23" t="e">
        <f t="shared" si="14"/>
        <v>#DIV/0!</v>
      </c>
    </row>
    <row r="915" spans="4:8" x14ac:dyDescent="0.3">
      <c r="D915" s="18">
        <v>10</v>
      </c>
      <c r="H915" s="23" t="e">
        <f t="shared" si="14"/>
        <v>#DIV/0!</v>
      </c>
    </row>
    <row r="916" spans="4:8" x14ac:dyDescent="0.3">
      <c r="D916" s="18">
        <v>11</v>
      </c>
      <c r="H916" s="23" t="e">
        <f t="shared" si="14"/>
        <v>#DIV/0!</v>
      </c>
    </row>
    <row r="917" spans="4:8" x14ac:dyDescent="0.3">
      <c r="D917" s="18">
        <v>12</v>
      </c>
      <c r="H917" s="23" t="e">
        <f t="shared" si="14"/>
        <v>#DIV/0!</v>
      </c>
    </row>
    <row r="918" spans="4:8" x14ac:dyDescent="0.3">
      <c r="D918" s="18">
        <v>13</v>
      </c>
      <c r="H918" s="23" t="e">
        <f t="shared" si="14"/>
        <v>#DIV/0!</v>
      </c>
    </row>
    <row r="919" spans="4:8" x14ac:dyDescent="0.3">
      <c r="D919" s="18">
        <v>14</v>
      </c>
      <c r="H919" s="23" t="e">
        <f t="shared" si="14"/>
        <v>#DIV/0!</v>
      </c>
    </row>
    <row r="920" spans="4:8" x14ac:dyDescent="0.3">
      <c r="D920" s="18">
        <v>15</v>
      </c>
      <c r="H920" s="23" t="e">
        <f t="shared" si="14"/>
        <v>#DIV/0!</v>
      </c>
    </row>
    <row r="921" spans="4:8" x14ac:dyDescent="0.3">
      <c r="D921" s="18">
        <v>16</v>
      </c>
      <c r="H921" s="23" t="e">
        <f t="shared" si="14"/>
        <v>#DIV/0!</v>
      </c>
    </row>
    <row r="922" spans="4:8" x14ac:dyDescent="0.3">
      <c r="D922" s="18">
        <v>17</v>
      </c>
      <c r="H922" s="23" t="e">
        <f t="shared" si="14"/>
        <v>#DIV/0!</v>
      </c>
    </row>
    <row r="923" spans="4:8" x14ac:dyDescent="0.3">
      <c r="D923" s="18">
        <v>18</v>
      </c>
      <c r="H923" s="23" t="e">
        <f t="shared" si="14"/>
        <v>#DIV/0!</v>
      </c>
    </row>
    <row r="924" spans="4:8" x14ac:dyDescent="0.3">
      <c r="D924" s="18">
        <v>19</v>
      </c>
      <c r="H924" s="23" t="e">
        <f t="shared" si="14"/>
        <v>#DIV/0!</v>
      </c>
    </row>
    <row r="925" spans="4:8" x14ac:dyDescent="0.3">
      <c r="D925" s="18">
        <v>20</v>
      </c>
      <c r="H925" s="23" t="e">
        <f t="shared" si="14"/>
        <v>#DIV/0!</v>
      </c>
    </row>
    <row r="926" spans="4:8" x14ac:dyDescent="0.3">
      <c r="D926" s="18">
        <v>21</v>
      </c>
      <c r="H926" s="23" t="e">
        <f t="shared" si="14"/>
        <v>#DIV/0!</v>
      </c>
    </row>
    <row r="927" spans="4:8" x14ac:dyDescent="0.3">
      <c r="D927" s="18">
        <v>22</v>
      </c>
      <c r="H927" s="23" t="e">
        <f t="shared" si="14"/>
        <v>#DIV/0!</v>
      </c>
    </row>
    <row r="928" spans="4:8" x14ac:dyDescent="0.3">
      <c r="D928" s="18">
        <v>23</v>
      </c>
      <c r="H928" s="23" t="e">
        <f t="shared" si="14"/>
        <v>#DIV/0!</v>
      </c>
    </row>
    <row r="929" spans="4:8" x14ac:dyDescent="0.3">
      <c r="D929" s="18">
        <v>1</v>
      </c>
      <c r="H929" s="23"/>
    </row>
    <row r="930" spans="4:8" x14ac:dyDescent="0.3">
      <c r="D930" s="18">
        <v>2</v>
      </c>
      <c r="H930" s="23"/>
    </row>
    <row r="931" spans="4:8" x14ac:dyDescent="0.3">
      <c r="D931" s="18">
        <v>3</v>
      </c>
      <c r="H931" s="23"/>
    </row>
    <row r="932" spans="4:8" x14ac:dyDescent="0.3">
      <c r="D932" s="18">
        <v>4</v>
      </c>
      <c r="H932" s="23"/>
    </row>
    <row r="933" spans="4:8" x14ac:dyDescent="0.3">
      <c r="D933" s="18">
        <v>5</v>
      </c>
      <c r="H933" s="23"/>
    </row>
    <row r="934" spans="4:8" x14ac:dyDescent="0.3">
      <c r="D934" s="18">
        <v>6</v>
      </c>
      <c r="H934" s="23"/>
    </row>
    <row r="935" spans="4:8" x14ac:dyDescent="0.3">
      <c r="D935" s="18">
        <v>7</v>
      </c>
      <c r="H935" s="23"/>
    </row>
    <row r="936" spans="4:8" x14ac:dyDescent="0.3">
      <c r="D936" s="18">
        <v>8</v>
      </c>
      <c r="H936" s="23"/>
    </row>
    <row r="937" spans="4:8" x14ac:dyDescent="0.3">
      <c r="D937" s="18">
        <v>9</v>
      </c>
      <c r="H937" s="23"/>
    </row>
    <row r="938" spans="4:8" x14ac:dyDescent="0.3">
      <c r="D938" s="18">
        <v>10</v>
      </c>
      <c r="H938" s="23"/>
    </row>
    <row r="939" spans="4:8" x14ac:dyDescent="0.3">
      <c r="D939" s="18">
        <v>11</v>
      </c>
      <c r="H939" s="23"/>
    </row>
    <row r="940" spans="4:8" x14ac:dyDescent="0.3">
      <c r="D940" s="18">
        <v>12</v>
      </c>
      <c r="H940" s="23"/>
    </row>
    <row r="941" spans="4:8" x14ac:dyDescent="0.3">
      <c r="D941" s="18">
        <v>13</v>
      </c>
      <c r="H941" s="23"/>
    </row>
    <row r="942" spans="4:8" x14ac:dyDescent="0.3">
      <c r="D942" s="18">
        <v>14</v>
      </c>
      <c r="H942" s="23"/>
    </row>
    <row r="943" spans="4:8" x14ac:dyDescent="0.3">
      <c r="D943" s="18">
        <v>15</v>
      </c>
      <c r="H943" s="23"/>
    </row>
    <row r="944" spans="4:8" x14ac:dyDescent="0.3">
      <c r="D944" s="18">
        <v>16</v>
      </c>
      <c r="H944" s="23"/>
    </row>
    <row r="945" spans="4:8" x14ac:dyDescent="0.3">
      <c r="D945" s="18">
        <v>17</v>
      </c>
      <c r="H945" s="23"/>
    </row>
    <row r="946" spans="4:8" x14ac:dyDescent="0.3">
      <c r="D946" s="18">
        <v>18</v>
      </c>
      <c r="H946" s="23"/>
    </row>
    <row r="947" spans="4:8" x14ac:dyDescent="0.3">
      <c r="D947" s="18">
        <v>19</v>
      </c>
      <c r="H947" s="23"/>
    </row>
    <row r="948" spans="4:8" x14ac:dyDescent="0.3">
      <c r="D948" s="18">
        <v>20</v>
      </c>
      <c r="H948" s="23"/>
    </row>
    <row r="949" spans="4:8" x14ac:dyDescent="0.3">
      <c r="D949" s="18">
        <v>21</v>
      </c>
      <c r="H949" s="23"/>
    </row>
    <row r="950" spans="4:8" x14ac:dyDescent="0.3">
      <c r="D950" s="18">
        <v>22</v>
      </c>
      <c r="H950" s="23"/>
    </row>
    <row r="951" spans="4:8" x14ac:dyDescent="0.3">
      <c r="D951" s="18">
        <v>23</v>
      </c>
      <c r="H951" s="23"/>
    </row>
    <row r="952" spans="4:8" x14ac:dyDescent="0.3">
      <c r="D952" s="18">
        <v>1</v>
      </c>
      <c r="H952" s="23"/>
    </row>
    <row r="953" spans="4:8" x14ac:dyDescent="0.3">
      <c r="D953" s="18">
        <v>2</v>
      </c>
      <c r="H953" s="23"/>
    </row>
    <row r="954" spans="4:8" x14ac:dyDescent="0.3">
      <c r="D954" s="18">
        <v>3</v>
      </c>
      <c r="H954" s="23"/>
    </row>
    <row r="955" spans="4:8" x14ac:dyDescent="0.3">
      <c r="D955" s="18">
        <v>4</v>
      </c>
      <c r="H955" s="23"/>
    </row>
    <row r="956" spans="4:8" x14ac:dyDescent="0.3">
      <c r="D956" s="18">
        <v>5</v>
      </c>
      <c r="H956" s="23"/>
    </row>
    <row r="957" spans="4:8" x14ac:dyDescent="0.3">
      <c r="D957" s="18">
        <v>6</v>
      </c>
      <c r="H957" s="23"/>
    </row>
    <row r="958" spans="4:8" x14ac:dyDescent="0.3">
      <c r="D958" s="18">
        <v>7</v>
      </c>
      <c r="H958" s="23"/>
    </row>
    <row r="959" spans="4:8" x14ac:dyDescent="0.3">
      <c r="D959" s="18">
        <v>8</v>
      </c>
      <c r="H959" s="23"/>
    </row>
    <row r="960" spans="4:8" x14ac:dyDescent="0.3">
      <c r="D960" s="18">
        <v>9</v>
      </c>
      <c r="H960" s="23"/>
    </row>
    <row r="961" spans="4:8" x14ac:dyDescent="0.3">
      <c r="D961" s="18">
        <v>10</v>
      </c>
      <c r="H961" s="23"/>
    </row>
    <row r="962" spans="4:8" x14ac:dyDescent="0.3">
      <c r="D962" s="18">
        <v>11</v>
      </c>
      <c r="H962" s="23"/>
    </row>
    <row r="963" spans="4:8" x14ac:dyDescent="0.3">
      <c r="D963" s="18">
        <v>12</v>
      </c>
      <c r="H963" s="23"/>
    </row>
    <row r="964" spans="4:8" x14ac:dyDescent="0.3">
      <c r="D964" s="18">
        <v>13</v>
      </c>
      <c r="H964" s="23"/>
    </row>
    <row r="965" spans="4:8" x14ac:dyDescent="0.3">
      <c r="D965" s="18">
        <v>14</v>
      </c>
      <c r="H965" s="23"/>
    </row>
    <row r="966" spans="4:8" x14ac:dyDescent="0.3">
      <c r="D966" s="18">
        <v>15</v>
      </c>
      <c r="H966" s="23"/>
    </row>
    <row r="967" spans="4:8" x14ac:dyDescent="0.3">
      <c r="D967" s="18">
        <v>16</v>
      </c>
      <c r="H967" s="23"/>
    </row>
    <row r="968" spans="4:8" x14ac:dyDescent="0.3">
      <c r="D968" s="18">
        <v>17</v>
      </c>
      <c r="H968" s="23"/>
    </row>
    <row r="969" spans="4:8" x14ac:dyDescent="0.3">
      <c r="D969" s="18">
        <v>18</v>
      </c>
      <c r="H969" s="23"/>
    </row>
    <row r="970" spans="4:8" x14ac:dyDescent="0.3">
      <c r="D970" s="18">
        <v>19</v>
      </c>
      <c r="H970" s="23"/>
    </row>
    <row r="971" spans="4:8" x14ac:dyDescent="0.3">
      <c r="D971" s="18">
        <v>20</v>
      </c>
      <c r="H971" s="23"/>
    </row>
    <row r="972" spans="4:8" x14ac:dyDescent="0.3">
      <c r="D972" s="18">
        <v>21</v>
      </c>
      <c r="H972" s="23"/>
    </row>
    <row r="973" spans="4:8" x14ac:dyDescent="0.3">
      <c r="D973" s="18">
        <v>22</v>
      </c>
      <c r="H973" s="23"/>
    </row>
    <row r="974" spans="4:8" x14ac:dyDescent="0.3">
      <c r="D974" s="18">
        <v>23</v>
      </c>
      <c r="H974" s="23"/>
    </row>
    <row r="975" spans="4:8" x14ac:dyDescent="0.3">
      <c r="D975" s="18">
        <v>1</v>
      </c>
      <c r="H975" s="23"/>
    </row>
    <row r="976" spans="4:8" x14ac:dyDescent="0.3">
      <c r="D976" s="18">
        <v>2</v>
      </c>
      <c r="H976" s="23"/>
    </row>
    <row r="977" spans="4:8" x14ac:dyDescent="0.3">
      <c r="D977" s="18">
        <v>3</v>
      </c>
      <c r="H977" s="23"/>
    </row>
    <row r="978" spans="4:8" x14ac:dyDescent="0.3">
      <c r="D978" s="18">
        <v>4</v>
      </c>
      <c r="H978" s="23"/>
    </row>
    <row r="979" spans="4:8" x14ac:dyDescent="0.3">
      <c r="D979" s="18">
        <v>5</v>
      </c>
      <c r="H979" s="23"/>
    </row>
    <row r="980" spans="4:8" x14ac:dyDescent="0.3">
      <c r="D980" s="18">
        <v>6</v>
      </c>
      <c r="H980" s="23"/>
    </row>
    <row r="981" spans="4:8" x14ac:dyDescent="0.3">
      <c r="D981" s="18">
        <v>7</v>
      </c>
      <c r="H981" s="23"/>
    </row>
    <row r="982" spans="4:8" x14ac:dyDescent="0.3">
      <c r="D982" s="18">
        <v>8</v>
      </c>
      <c r="H982" s="23"/>
    </row>
    <row r="983" spans="4:8" x14ac:dyDescent="0.3">
      <c r="D983" s="18">
        <v>9</v>
      </c>
      <c r="H983" s="23"/>
    </row>
    <row r="984" spans="4:8" x14ac:dyDescent="0.3">
      <c r="D984" s="18">
        <v>10</v>
      </c>
      <c r="H984" s="23"/>
    </row>
    <row r="985" spans="4:8" x14ac:dyDescent="0.3">
      <c r="D985" s="18">
        <v>11</v>
      </c>
      <c r="H985" s="23"/>
    </row>
    <row r="986" spans="4:8" x14ac:dyDescent="0.3">
      <c r="D986" s="18">
        <v>12</v>
      </c>
      <c r="H986" s="23"/>
    </row>
    <row r="987" spans="4:8" x14ac:dyDescent="0.3">
      <c r="D987" s="18">
        <v>13</v>
      </c>
      <c r="H987" s="23"/>
    </row>
    <row r="988" spans="4:8" x14ac:dyDescent="0.3">
      <c r="D988" s="18">
        <v>14</v>
      </c>
      <c r="H988" s="23"/>
    </row>
    <row r="989" spans="4:8" x14ac:dyDescent="0.3">
      <c r="D989" s="18">
        <v>15</v>
      </c>
      <c r="H989" s="23"/>
    </row>
    <row r="990" spans="4:8" x14ac:dyDescent="0.3">
      <c r="D990" s="18">
        <v>16</v>
      </c>
      <c r="H990" s="23"/>
    </row>
    <row r="991" spans="4:8" x14ac:dyDescent="0.3">
      <c r="D991" s="18">
        <v>17</v>
      </c>
      <c r="H991" s="23"/>
    </row>
    <row r="992" spans="4:8" x14ac:dyDescent="0.3">
      <c r="D992" s="18">
        <v>18</v>
      </c>
      <c r="H992" s="23"/>
    </row>
    <row r="993" spans="4:8" x14ac:dyDescent="0.3">
      <c r="D993" s="18">
        <v>19</v>
      </c>
      <c r="H993" s="23"/>
    </row>
    <row r="994" spans="4:8" x14ac:dyDescent="0.3">
      <c r="D994" s="18">
        <v>20</v>
      </c>
      <c r="H994" s="23"/>
    </row>
    <row r="995" spans="4:8" x14ac:dyDescent="0.3">
      <c r="D995" s="18">
        <v>21</v>
      </c>
      <c r="H995" s="23"/>
    </row>
    <row r="996" spans="4:8" x14ac:dyDescent="0.3">
      <c r="D996" s="18">
        <v>22</v>
      </c>
      <c r="H996" s="23"/>
    </row>
    <row r="997" spans="4:8" x14ac:dyDescent="0.3">
      <c r="D997" s="18">
        <v>23</v>
      </c>
      <c r="H997" s="23"/>
    </row>
    <row r="998" spans="4:8" x14ac:dyDescent="0.3">
      <c r="D998" s="18">
        <v>1</v>
      </c>
      <c r="H998" s="23"/>
    </row>
    <row r="999" spans="4:8" x14ac:dyDescent="0.3">
      <c r="D999" s="18">
        <v>2</v>
      </c>
      <c r="H999" s="23"/>
    </row>
    <row r="1000" spans="4:8" x14ac:dyDescent="0.3">
      <c r="D1000" s="18">
        <v>3</v>
      </c>
      <c r="H1000" s="23"/>
    </row>
    <row r="1001" spans="4:8" x14ac:dyDescent="0.3">
      <c r="D1001" s="18">
        <v>4</v>
      </c>
      <c r="H1001" s="23"/>
    </row>
    <row r="1002" spans="4:8" x14ac:dyDescent="0.3">
      <c r="D1002" s="18">
        <v>5</v>
      </c>
      <c r="H1002" s="23"/>
    </row>
    <row r="1003" spans="4:8" x14ac:dyDescent="0.3">
      <c r="D1003" s="18">
        <v>6</v>
      </c>
      <c r="H1003" s="23"/>
    </row>
    <row r="1004" spans="4:8" x14ac:dyDescent="0.3">
      <c r="D1004" s="18">
        <v>7</v>
      </c>
      <c r="H1004" s="23"/>
    </row>
    <row r="1005" spans="4:8" x14ac:dyDescent="0.3">
      <c r="D1005" s="18">
        <v>8</v>
      </c>
      <c r="H1005" s="23"/>
    </row>
    <row r="1006" spans="4:8" x14ac:dyDescent="0.3">
      <c r="D1006" s="18">
        <v>9</v>
      </c>
      <c r="H1006" s="23"/>
    </row>
    <row r="1007" spans="4:8" x14ac:dyDescent="0.3">
      <c r="D1007" s="18">
        <v>10</v>
      </c>
      <c r="H1007" s="23"/>
    </row>
    <row r="1008" spans="4:8" x14ac:dyDescent="0.3">
      <c r="D1008" s="18">
        <v>11</v>
      </c>
      <c r="H1008" s="23"/>
    </row>
    <row r="1009" spans="4:8" x14ac:dyDescent="0.3">
      <c r="D1009" s="18">
        <v>12</v>
      </c>
      <c r="H1009" s="23"/>
    </row>
    <row r="1010" spans="4:8" x14ac:dyDescent="0.3">
      <c r="D1010" s="18">
        <v>13</v>
      </c>
      <c r="H1010" s="23"/>
    </row>
    <row r="1011" spans="4:8" x14ac:dyDescent="0.3">
      <c r="D1011" s="18">
        <v>14</v>
      </c>
      <c r="H1011" s="23"/>
    </row>
    <row r="1012" spans="4:8" x14ac:dyDescent="0.3">
      <c r="D1012" s="18">
        <v>15</v>
      </c>
      <c r="H1012" s="23"/>
    </row>
    <row r="1013" spans="4:8" x14ac:dyDescent="0.3">
      <c r="D1013" s="18">
        <v>16</v>
      </c>
      <c r="H1013" s="23"/>
    </row>
    <row r="1014" spans="4:8" x14ac:dyDescent="0.3">
      <c r="D1014" s="18">
        <v>17</v>
      </c>
      <c r="H1014" s="23"/>
    </row>
    <row r="1015" spans="4:8" x14ac:dyDescent="0.3">
      <c r="D1015" s="18">
        <v>18</v>
      </c>
      <c r="H1015" s="23"/>
    </row>
    <row r="1016" spans="4:8" x14ac:dyDescent="0.3">
      <c r="D1016" s="18">
        <v>19</v>
      </c>
      <c r="H1016" s="23"/>
    </row>
    <row r="1017" spans="4:8" x14ac:dyDescent="0.3">
      <c r="D1017" s="18">
        <v>20</v>
      </c>
      <c r="H1017" s="23"/>
    </row>
    <row r="1018" spans="4:8" x14ac:dyDescent="0.3">
      <c r="D1018" s="18">
        <v>21</v>
      </c>
      <c r="H1018" s="23"/>
    </row>
    <row r="1019" spans="4:8" x14ac:dyDescent="0.3">
      <c r="D1019" s="18">
        <v>22</v>
      </c>
      <c r="H1019" s="23"/>
    </row>
    <row r="1020" spans="4:8" x14ac:dyDescent="0.3">
      <c r="D1020" s="18">
        <v>23</v>
      </c>
      <c r="H1020" s="23"/>
    </row>
    <row r="1021" spans="4:8" x14ac:dyDescent="0.3">
      <c r="D1021" s="18">
        <v>1</v>
      </c>
      <c r="H1021" s="23"/>
    </row>
    <row r="1022" spans="4:8" x14ac:dyDescent="0.3">
      <c r="D1022" s="18">
        <v>2</v>
      </c>
      <c r="H1022" s="23"/>
    </row>
    <row r="1023" spans="4:8" x14ac:dyDescent="0.3">
      <c r="D1023" s="18">
        <v>3</v>
      </c>
      <c r="H1023" s="23"/>
    </row>
    <row r="1024" spans="4:8" x14ac:dyDescent="0.3">
      <c r="D1024" s="18">
        <v>4</v>
      </c>
      <c r="H1024" s="23"/>
    </row>
    <row r="1025" spans="4:8" x14ac:dyDescent="0.3">
      <c r="D1025" s="18">
        <v>5</v>
      </c>
      <c r="H1025" s="23"/>
    </row>
    <row r="1026" spans="4:8" x14ac:dyDescent="0.3">
      <c r="D1026" s="18">
        <v>6</v>
      </c>
      <c r="H1026" s="23"/>
    </row>
    <row r="1027" spans="4:8" x14ac:dyDescent="0.3">
      <c r="D1027" s="18">
        <v>7</v>
      </c>
      <c r="H1027" s="23"/>
    </row>
    <row r="1028" spans="4:8" x14ac:dyDescent="0.3">
      <c r="D1028" s="18">
        <v>8</v>
      </c>
      <c r="H1028" s="23"/>
    </row>
    <row r="1029" spans="4:8" x14ac:dyDescent="0.3">
      <c r="D1029" s="18">
        <v>9</v>
      </c>
      <c r="H1029" s="23"/>
    </row>
    <row r="1030" spans="4:8" x14ac:dyDescent="0.3">
      <c r="D1030" s="18">
        <v>10</v>
      </c>
      <c r="H1030" s="23"/>
    </row>
    <row r="1031" spans="4:8" x14ac:dyDescent="0.3">
      <c r="D1031" s="18">
        <v>11</v>
      </c>
      <c r="H1031" s="23"/>
    </row>
    <row r="1032" spans="4:8" x14ac:dyDescent="0.3">
      <c r="D1032" s="18">
        <v>12</v>
      </c>
      <c r="H1032" s="23"/>
    </row>
    <row r="1033" spans="4:8" x14ac:dyDescent="0.3">
      <c r="D1033" s="18">
        <v>13</v>
      </c>
      <c r="H1033" s="23"/>
    </row>
    <row r="1034" spans="4:8" x14ac:dyDescent="0.3">
      <c r="D1034" s="18">
        <v>14</v>
      </c>
      <c r="H1034" s="23"/>
    </row>
    <row r="1035" spans="4:8" x14ac:dyDescent="0.3">
      <c r="D1035" s="18">
        <v>15</v>
      </c>
      <c r="H1035" s="23"/>
    </row>
    <row r="1036" spans="4:8" x14ac:dyDescent="0.3">
      <c r="D1036" s="18">
        <v>16</v>
      </c>
      <c r="H1036" s="23"/>
    </row>
    <row r="1037" spans="4:8" x14ac:dyDescent="0.3">
      <c r="D1037" s="18">
        <v>17</v>
      </c>
      <c r="H1037" s="23"/>
    </row>
    <row r="1038" spans="4:8" x14ac:dyDescent="0.3">
      <c r="D1038" s="18">
        <v>18</v>
      </c>
      <c r="H1038" s="23"/>
    </row>
    <row r="1039" spans="4:8" x14ac:dyDescent="0.3">
      <c r="D1039" s="18">
        <v>19</v>
      </c>
      <c r="H1039" s="23"/>
    </row>
    <row r="1040" spans="4:8" x14ac:dyDescent="0.3">
      <c r="D1040" s="18">
        <v>20</v>
      </c>
      <c r="H1040" s="23"/>
    </row>
    <row r="1041" spans="4:8" x14ac:dyDescent="0.3">
      <c r="D1041" s="18">
        <v>21</v>
      </c>
      <c r="H1041" s="23"/>
    </row>
    <row r="1042" spans="4:8" x14ac:dyDescent="0.3">
      <c r="D1042" s="18">
        <v>22</v>
      </c>
      <c r="H1042" s="23"/>
    </row>
    <row r="1043" spans="4:8" x14ac:dyDescent="0.3">
      <c r="D1043" s="18">
        <v>23</v>
      </c>
      <c r="H1043" s="23"/>
    </row>
    <row r="1044" spans="4:8" x14ac:dyDescent="0.3">
      <c r="H1044" s="23"/>
    </row>
    <row r="1045" spans="4:8" x14ac:dyDescent="0.3">
      <c r="H1045" s="23"/>
    </row>
    <row r="1046" spans="4:8" x14ac:dyDescent="0.3">
      <c r="H1046" s="23"/>
    </row>
    <row r="1047" spans="4:8" x14ac:dyDescent="0.3">
      <c r="H1047" s="23"/>
    </row>
    <row r="1048" spans="4:8" x14ac:dyDescent="0.3">
      <c r="H1048" s="23"/>
    </row>
    <row r="1049" spans="4:8" x14ac:dyDescent="0.3">
      <c r="H1049" s="23"/>
    </row>
    <row r="1050" spans="4:8" x14ac:dyDescent="0.3">
      <c r="H1050" s="23"/>
    </row>
    <row r="1051" spans="4:8" x14ac:dyDescent="0.3">
      <c r="H1051" s="23"/>
    </row>
    <row r="1052" spans="4:8" x14ac:dyDescent="0.3">
      <c r="H1052" s="23"/>
    </row>
    <row r="1053" spans="4:8" x14ac:dyDescent="0.3">
      <c r="H1053" s="23"/>
    </row>
    <row r="1054" spans="4:8" x14ac:dyDescent="0.3">
      <c r="H1054" s="23"/>
    </row>
    <row r="1055" spans="4:8" x14ac:dyDescent="0.3">
      <c r="H1055" s="23"/>
    </row>
    <row r="1056" spans="4:8" x14ac:dyDescent="0.3">
      <c r="H1056" s="23"/>
    </row>
    <row r="1057" spans="8:8" x14ac:dyDescent="0.3">
      <c r="H1057" s="23"/>
    </row>
    <row r="1058" spans="8:8" x14ac:dyDescent="0.3">
      <c r="H1058" s="23"/>
    </row>
    <row r="1059" spans="8:8" x14ac:dyDescent="0.3">
      <c r="H1059" s="23"/>
    </row>
    <row r="1060" spans="8:8" x14ac:dyDescent="0.3">
      <c r="H1060" s="23"/>
    </row>
    <row r="1061" spans="8:8" x14ac:dyDescent="0.3">
      <c r="H1061" s="23"/>
    </row>
    <row r="1062" spans="8:8" x14ac:dyDescent="0.3">
      <c r="H1062" s="23"/>
    </row>
    <row r="1063" spans="8:8" x14ac:dyDescent="0.3">
      <c r="H1063" s="23"/>
    </row>
    <row r="1064" spans="8:8" x14ac:dyDescent="0.3">
      <c r="H1064" s="23"/>
    </row>
    <row r="1065" spans="8:8" x14ac:dyDescent="0.3">
      <c r="H1065" s="23"/>
    </row>
    <row r="1066" spans="8:8" x14ac:dyDescent="0.3">
      <c r="H1066" s="23"/>
    </row>
    <row r="1067" spans="8:8" x14ac:dyDescent="0.3">
      <c r="H1067" s="23"/>
    </row>
    <row r="1068" spans="8:8" x14ac:dyDescent="0.3">
      <c r="H1068" s="23"/>
    </row>
    <row r="1069" spans="8:8" x14ac:dyDescent="0.3">
      <c r="H1069" s="23"/>
    </row>
    <row r="1070" spans="8:8" x14ac:dyDescent="0.3">
      <c r="H1070" s="23"/>
    </row>
    <row r="1071" spans="8:8" x14ac:dyDescent="0.3">
      <c r="H1071" s="23"/>
    </row>
    <row r="1072" spans="8:8" x14ac:dyDescent="0.3">
      <c r="H1072" s="23"/>
    </row>
    <row r="1073" spans="8:8" x14ac:dyDescent="0.3">
      <c r="H1073" s="23"/>
    </row>
    <row r="1074" spans="8:8" x14ac:dyDescent="0.3">
      <c r="H1074" s="23"/>
    </row>
    <row r="1075" spans="8:8" x14ac:dyDescent="0.3">
      <c r="H1075" s="23"/>
    </row>
    <row r="1076" spans="8:8" x14ac:dyDescent="0.3">
      <c r="H1076" s="23"/>
    </row>
    <row r="1077" spans="8:8" x14ac:dyDescent="0.3">
      <c r="H1077" s="23"/>
    </row>
    <row r="1078" spans="8:8" x14ac:dyDescent="0.3">
      <c r="H1078" s="23"/>
    </row>
    <row r="1079" spans="8:8" x14ac:dyDescent="0.3">
      <c r="H1079" s="23"/>
    </row>
    <row r="1080" spans="8:8" x14ac:dyDescent="0.3">
      <c r="H1080" s="23"/>
    </row>
    <row r="1081" spans="8:8" x14ac:dyDescent="0.3">
      <c r="H1081" s="23"/>
    </row>
    <row r="1082" spans="8:8" x14ac:dyDescent="0.3">
      <c r="H1082" s="23"/>
    </row>
    <row r="1083" spans="8:8" x14ac:dyDescent="0.3">
      <c r="H1083" s="23"/>
    </row>
    <row r="1084" spans="8:8" x14ac:dyDescent="0.3">
      <c r="H1084" s="23"/>
    </row>
    <row r="1085" spans="8:8" x14ac:dyDescent="0.3">
      <c r="H1085" s="23"/>
    </row>
    <row r="1086" spans="8:8" x14ac:dyDescent="0.3">
      <c r="H1086" s="23"/>
    </row>
    <row r="1087" spans="8:8" x14ac:dyDescent="0.3">
      <c r="H1087" s="23"/>
    </row>
    <row r="1088" spans="8:8" x14ac:dyDescent="0.3">
      <c r="H1088" s="23"/>
    </row>
    <row r="1089" spans="8:8" x14ac:dyDescent="0.3">
      <c r="H1089" s="23"/>
    </row>
    <row r="1090" spans="8:8" x14ac:dyDescent="0.3">
      <c r="H1090" s="23"/>
    </row>
    <row r="1091" spans="8:8" x14ac:dyDescent="0.3">
      <c r="H1091" s="23"/>
    </row>
    <row r="1092" spans="8:8" x14ac:dyDescent="0.3">
      <c r="H1092" s="23"/>
    </row>
    <row r="1093" spans="8:8" x14ac:dyDescent="0.3">
      <c r="H1093" s="23"/>
    </row>
    <row r="1094" spans="8:8" x14ac:dyDescent="0.3">
      <c r="H1094" s="23"/>
    </row>
    <row r="1095" spans="8:8" x14ac:dyDescent="0.3">
      <c r="H1095" s="23"/>
    </row>
    <row r="1096" spans="8:8" x14ac:dyDescent="0.3">
      <c r="H1096" s="23"/>
    </row>
    <row r="1097" spans="8:8" x14ac:dyDescent="0.3">
      <c r="H1097" s="23"/>
    </row>
    <row r="1098" spans="8:8" x14ac:dyDescent="0.3">
      <c r="H1098" s="23"/>
    </row>
    <row r="1099" spans="8:8" x14ac:dyDescent="0.3">
      <c r="H1099" s="23"/>
    </row>
    <row r="1100" spans="8:8" x14ac:dyDescent="0.3">
      <c r="H1100" s="23"/>
    </row>
    <row r="1101" spans="8:8" x14ac:dyDescent="0.3">
      <c r="H1101" s="23"/>
    </row>
    <row r="1102" spans="8:8" x14ac:dyDescent="0.3">
      <c r="H1102" s="23"/>
    </row>
    <row r="1103" spans="8:8" x14ac:dyDescent="0.3">
      <c r="H1103" s="23"/>
    </row>
    <row r="1104" spans="8:8" x14ac:dyDescent="0.3">
      <c r="H1104" s="23"/>
    </row>
    <row r="1105" spans="8:8" x14ac:dyDescent="0.3">
      <c r="H1105" s="23"/>
    </row>
    <row r="1106" spans="8:8" x14ac:dyDescent="0.3">
      <c r="H1106" s="23"/>
    </row>
    <row r="1107" spans="8:8" x14ac:dyDescent="0.3">
      <c r="H1107" s="23"/>
    </row>
    <row r="1108" spans="8:8" x14ac:dyDescent="0.3">
      <c r="H1108" s="23"/>
    </row>
    <row r="1109" spans="8:8" x14ac:dyDescent="0.3">
      <c r="H1109" s="23"/>
    </row>
    <row r="1110" spans="8:8" x14ac:dyDescent="0.3">
      <c r="H1110" s="23"/>
    </row>
    <row r="1111" spans="8:8" x14ac:dyDescent="0.3">
      <c r="H1111" s="23"/>
    </row>
    <row r="1112" spans="8:8" x14ac:dyDescent="0.3">
      <c r="H1112" s="23"/>
    </row>
    <row r="1113" spans="8:8" x14ac:dyDescent="0.3">
      <c r="H1113" s="23"/>
    </row>
    <row r="1114" spans="8:8" x14ac:dyDescent="0.3">
      <c r="H1114" s="23"/>
    </row>
    <row r="1115" spans="8:8" x14ac:dyDescent="0.3">
      <c r="H1115" s="23"/>
    </row>
    <row r="1116" spans="8:8" x14ac:dyDescent="0.3">
      <c r="H1116" s="23"/>
    </row>
    <row r="1117" spans="8:8" x14ac:dyDescent="0.3">
      <c r="H1117" s="23"/>
    </row>
    <row r="1118" spans="8:8" x14ac:dyDescent="0.3">
      <c r="H1118" s="23"/>
    </row>
    <row r="1119" spans="8:8" x14ac:dyDescent="0.3">
      <c r="H1119" s="23"/>
    </row>
    <row r="1120" spans="8:8" x14ac:dyDescent="0.3">
      <c r="H1120" s="23"/>
    </row>
    <row r="1121" spans="8:8" x14ac:dyDescent="0.3">
      <c r="H1121" s="23"/>
    </row>
    <row r="1122" spans="8:8" x14ac:dyDescent="0.3">
      <c r="H1122" s="23"/>
    </row>
    <row r="1123" spans="8:8" x14ac:dyDescent="0.3">
      <c r="H1123" s="23"/>
    </row>
    <row r="1124" spans="8:8" x14ac:dyDescent="0.3">
      <c r="H1124" s="23"/>
    </row>
    <row r="1125" spans="8:8" x14ac:dyDescent="0.3">
      <c r="H1125" s="23"/>
    </row>
    <row r="1126" spans="8:8" x14ac:dyDescent="0.3">
      <c r="H1126" s="23"/>
    </row>
    <row r="1127" spans="8:8" x14ac:dyDescent="0.3">
      <c r="H1127" s="23"/>
    </row>
    <row r="1128" spans="8:8" x14ac:dyDescent="0.3">
      <c r="H1128" s="23"/>
    </row>
    <row r="1129" spans="8:8" x14ac:dyDescent="0.3">
      <c r="H1129" s="23"/>
    </row>
    <row r="1130" spans="8:8" x14ac:dyDescent="0.3">
      <c r="H1130" s="23"/>
    </row>
    <row r="1131" spans="8:8" x14ac:dyDescent="0.3">
      <c r="H1131" s="23"/>
    </row>
    <row r="1132" spans="8:8" x14ac:dyDescent="0.3">
      <c r="H1132" s="23"/>
    </row>
    <row r="1133" spans="8:8" x14ac:dyDescent="0.3">
      <c r="H1133" s="23"/>
    </row>
    <row r="1134" spans="8:8" x14ac:dyDescent="0.3">
      <c r="H1134" s="23"/>
    </row>
    <row r="1135" spans="8:8" x14ac:dyDescent="0.3">
      <c r="H1135" s="23"/>
    </row>
    <row r="1136" spans="8:8" x14ac:dyDescent="0.3">
      <c r="H1136" s="23"/>
    </row>
    <row r="1137" spans="8:8" x14ac:dyDescent="0.3">
      <c r="H1137" s="23"/>
    </row>
    <row r="1138" spans="8:8" x14ac:dyDescent="0.3">
      <c r="H1138" s="23"/>
    </row>
    <row r="1139" spans="8:8" x14ac:dyDescent="0.3">
      <c r="H1139" s="23"/>
    </row>
    <row r="1140" spans="8:8" x14ac:dyDescent="0.3">
      <c r="H1140" s="23"/>
    </row>
    <row r="1141" spans="8:8" x14ac:dyDescent="0.3">
      <c r="H1141" s="23"/>
    </row>
    <row r="1142" spans="8:8" x14ac:dyDescent="0.3">
      <c r="H1142" s="23"/>
    </row>
    <row r="1143" spans="8:8" x14ac:dyDescent="0.3">
      <c r="H1143" s="23"/>
    </row>
    <row r="1144" spans="8:8" x14ac:dyDescent="0.3">
      <c r="H1144" s="23"/>
    </row>
    <row r="1145" spans="8:8" x14ac:dyDescent="0.3">
      <c r="H1145" s="23"/>
    </row>
    <row r="1146" spans="8:8" x14ac:dyDescent="0.3">
      <c r="H1146" s="23"/>
    </row>
    <row r="1147" spans="8:8" x14ac:dyDescent="0.3">
      <c r="H1147" s="23"/>
    </row>
    <row r="1148" spans="8:8" x14ac:dyDescent="0.3">
      <c r="H1148" s="23"/>
    </row>
    <row r="1149" spans="8:8" x14ac:dyDescent="0.3">
      <c r="H1149" s="23"/>
    </row>
    <row r="1150" spans="8:8" x14ac:dyDescent="0.3">
      <c r="H1150" s="23"/>
    </row>
    <row r="1151" spans="8:8" x14ac:dyDescent="0.3">
      <c r="H1151" s="23"/>
    </row>
    <row r="1152" spans="8:8" x14ac:dyDescent="0.3">
      <c r="H1152" s="23"/>
    </row>
    <row r="1153" spans="8:8" x14ac:dyDescent="0.3">
      <c r="H1153" s="23"/>
    </row>
    <row r="1154" spans="8:8" x14ac:dyDescent="0.3">
      <c r="H1154" s="23"/>
    </row>
    <row r="1155" spans="8:8" x14ac:dyDescent="0.3">
      <c r="H1155" s="23"/>
    </row>
    <row r="1156" spans="8:8" x14ac:dyDescent="0.3">
      <c r="H1156" s="23"/>
    </row>
    <row r="1157" spans="8:8" x14ac:dyDescent="0.3">
      <c r="H1157" s="23"/>
    </row>
    <row r="1158" spans="8:8" x14ac:dyDescent="0.3">
      <c r="H1158" s="23"/>
    </row>
    <row r="1159" spans="8:8" x14ac:dyDescent="0.3">
      <c r="H1159" s="23"/>
    </row>
    <row r="1160" spans="8:8" x14ac:dyDescent="0.3">
      <c r="H1160" s="23"/>
    </row>
    <row r="1161" spans="8:8" x14ac:dyDescent="0.3">
      <c r="H1161" s="23"/>
    </row>
    <row r="1162" spans="8:8" x14ac:dyDescent="0.3">
      <c r="H1162" s="23"/>
    </row>
    <row r="1163" spans="8:8" x14ac:dyDescent="0.3">
      <c r="H1163" s="23"/>
    </row>
    <row r="1164" spans="8:8" x14ac:dyDescent="0.3">
      <c r="H1164" s="23"/>
    </row>
    <row r="1165" spans="8:8" x14ac:dyDescent="0.3">
      <c r="H1165" s="23"/>
    </row>
    <row r="1166" spans="8:8" x14ac:dyDescent="0.3">
      <c r="H1166" s="23"/>
    </row>
    <row r="1167" spans="8:8" x14ac:dyDescent="0.3">
      <c r="H1167" s="23"/>
    </row>
    <row r="1168" spans="8:8" x14ac:dyDescent="0.3">
      <c r="H1168" s="23"/>
    </row>
    <row r="1169" spans="8:8" x14ac:dyDescent="0.3">
      <c r="H1169" s="23"/>
    </row>
    <row r="1170" spans="8:8" x14ac:dyDescent="0.3">
      <c r="H1170" s="23"/>
    </row>
    <row r="1171" spans="8:8" x14ac:dyDescent="0.3">
      <c r="H1171" s="23"/>
    </row>
    <row r="1172" spans="8:8" x14ac:dyDescent="0.3">
      <c r="H1172" s="23"/>
    </row>
    <row r="1173" spans="8:8" x14ac:dyDescent="0.3">
      <c r="H1173" s="23"/>
    </row>
    <row r="1174" spans="8:8" x14ac:dyDescent="0.3">
      <c r="H1174" s="23"/>
    </row>
    <row r="1175" spans="8:8" x14ac:dyDescent="0.3">
      <c r="H1175" s="23"/>
    </row>
    <row r="1176" spans="8:8" x14ac:dyDescent="0.3">
      <c r="H1176" s="23"/>
    </row>
    <row r="1177" spans="8:8" x14ac:dyDescent="0.3">
      <c r="H1177" s="23"/>
    </row>
    <row r="1178" spans="8:8" x14ac:dyDescent="0.3">
      <c r="H1178" s="23"/>
    </row>
    <row r="1179" spans="8:8" x14ac:dyDescent="0.3">
      <c r="H1179" s="23"/>
    </row>
    <row r="1180" spans="8:8" x14ac:dyDescent="0.3">
      <c r="H1180" s="23"/>
    </row>
    <row r="1181" spans="8:8" x14ac:dyDescent="0.3">
      <c r="H1181" s="23"/>
    </row>
    <row r="1182" spans="8:8" x14ac:dyDescent="0.3">
      <c r="H1182" s="23"/>
    </row>
    <row r="1183" spans="8:8" x14ac:dyDescent="0.3">
      <c r="H1183" s="23"/>
    </row>
    <row r="1184" spans="8:8" x14ac:dyDescent="0.3">
      <c r="H1184" s="23"/>
    </row>
    <row r="1185" spans="8:8" x14ac:dyDescent="0.3">
      <c r="H1185" s="23"/>
    </row>
    <row r="1186" spans="8:8" x14ac:dyDescent="0.3">
      <c r="H1186" s="23"/>
    </row>
    <row r="1187" spans="8:8" x14ac:dyDescent="0.3">
      <c r="H1187" s="23"/>
    </row>
    <row r="1188" spans="8:8" x14ac:dyDescent="0.3">
      <c r="H1188" s="23"/>
    </row>
    <row r="1189" spans="8:8" x14ac:dyDescent="0.3">
      <c r="H1189" s="23"/>
    </row>
    <row r="1190" spans="8:8" x14ac:dyDescent="0.3">
      <c r="H1190" s="23"/>
    </row>
    <row r="1191" spans="8:8" x14ac:dyDescent="0.3">
      <c r="H1191" s="23"/>
    </row>
    <row r="1192" spans="8:8" x14ac:dyDescent="0.3">
      <c r="H1192" s="23"/>
    </row>
    <row r="1193" spans="8:8" x14ac:dyDescent="0.3">
      <c r="H1193" s="23"/>
    </row>
    <row r="1194" spans="8:8" x14ac:dyDescent="0.3">
      <c r="H1194" s="23"/>
    </row>
    <row r="1195" spans="8:8" x14ac:dyDescent="0.3">
      <c r="H1195" s="23"/>
    </row>
    <row r="1196" spans="8:8" x14ac:dyDescent="0.3">
      <c r="H1196" s="23"/>
    </row>
    <row r="1197" spans="8:8" x14ac:dyDescent="0.3">
      <c r="H1197" s="23"/>
    </row>
    <row r="1198" spans="8:8" x14ac:dyDescent="0.3">
      <c r="H1198" s="23"/>
    </row>
    <row r="1199" spans="8:8" x14ac:dyDescent="0.3">
      <c r="H1199" s="23"/>
    </row>
    <row r="1200" spans="8:8" x14ac:dyDescent="0.3">
      <c r="H1200" s="23"/>
    </row>
    <row r="1201" spans="8:8" x14ac:dyDescent="0.3">
      <c r="H1201" s="23"/>
    </row>
    <row r="1202" spans="8:8" x14ac:dyDescent="0.3">
      <c r="H1202" s="23"/>
    </row>
    <row r="1203" spans="8:8" x14ac:dyDescent="0.3">
      <c r="H1203" s="23"/>
    </row>
    <row r="1204" spans="8:8" x14ac:dyDescent="0.3">
      <c r="H1204" s="23"/>
    </row>
    <row r="1205" spans="8:8" x14ac:dyDescent="0.3">
      <c r="H1205" s="23"/>
    </row>
    <row r="1206" spans="8:8" x14ac:dyDescent="0.3">
      <c r="H1206" s="23"/>
    </row>
    <row r="1207" spans="8:8" x14ac:dyDescent="0.3">
      <c r="H1207" s="23"/>
    </row>
    <row r="1208" spans="8:8" x14ac:dyDescent="0.3">
      <c r="H1208" s="23"/>
    </row>
    <row r="1209" spans="8:8" x14ac:dyDescent="0.3">
      <c r="H1209" s="23"/>
    </row>
    <row r="1210" spans="8:8" x14ac:dyDescent="0.3">
      <c r="H1210" s="23"/>
    </row>
    <row r="1211" spans="8:8" x14ac:dyDescent="0.3">
      <c r="H1211" s="23"/>
    </row>
    <row r="1212" spans="8:8" x14ac:dyDescent="0.3">
      <c r="H1212" s="23"/>
    </row>
    <row r="1213" spans="8:8" x14ac:dyDescent="0.3">
      <c r="H1213" s="23"/>
    </row>
    <row r="1214" spans="8:8" x14ac:dyDescent="0.3">
      <c r="H1214" s="23"/>
    </row>
    <row r="1215" spans="8:8" x14ac:dyDescent="0.3">
      <c r="H1215" s="23"/>
    </row>
    <row r="1216" spans="8:8" x14ac:dyDescent="0.3">
      <c r="H1216" s="23"/>
    </row>
    <row r="1217" spans="8:8" x14ac:dyDescent="0.3">
      <c r="H1217" s="23"/>
    </row>
    <row r="1218" spans="8:8" x14ac:dyDescent="0.3">
      <c r="H1218" s="23"/>
    </row>
    <row r="1219" spans="8:8" x14ac:dyDescent="0.3">
      <c r="H1219" s="23"/>
    </row>
    <row r="1220" spans="8:8" x14ac:dyDescent="0.3">
      <c r="H1220" s="23"/>
    </row>
    <row r="1221" spans="8:8" x14ac:dyDescent="0.3">
      <c r="H1221" s="23"/>
    </row>
    <row r="1222" spans="8:8" x14ac:dyDescent="0.3">
      <c r="H1222" s="23"/>
    </row>
    <row r="1223" spans="8:8" x14ac:dyDescent="0.3">
      <c r="H1223" s="23"/>
    </row>
    <row r="1224" spans="8:8" x14ac:dyDescent="0.3">
      <c r="H1224" s="23"/>
    </row>
    <row r="1225" spans="8:8" x14ac:dyDescent="0.3">
      <c r="H1225" s="23"/>
    </row>
    <row r="1226" spans="8:8" x14ac:dyDescent="0.3">
      <c r="H1226" s="23"/>
    </row>
    <row r="1227" spans="8:8" x14ac:dyDescent="0.3">
      <c r="H1227" s="23"/>
    </row>
    <row r="1228" spans="8:8" x14ac:dyDescent="0.3">
      <c r="H1228" s="23"/>
    </row>
    <row r="1229" spans="8:8" x14ac:dyDescent="0.3">
      <c r="H1229" s="23"/>
    </row>
    <row r="1230" spans="8:8" x14ac:dyDescent="0.3">
      <c r="H1230" s="23"/>
    </row>
    <row r="1231" spans="8:8" x14ac:dyDescent="0.3">
      <c r="H1231" s="23"/>
    </row>
    <row r="1232" spans="8:8" x14ac:dyDescent="0.3">
      <c r="H1232" s="23"/>
    </row>
    <row r="1233" spans="8:8" x14ac:dyDescent="0.3">
      <c r="H1233" s="23"/>
    </row>
    <row r="1234" spans="8:8" x14ac:dyDescent="0.3">
      <c r="H1234" s="23"/>
    </row>
    <row r="1235" spans="8:8" x14ac:dyDescent="0.3">
      <c r="H1235" s="23"/>
    </row>
    <row r="1236" spans="8:8" x14ac:dyDescent="0.3">
      <c r="H1236" s="23"/>
    </row>
    <row r="1237" spans="8:8" x14ac:dyDescent="0.3">
      <c r="H1237" s="23"/>
    </row>
    <row r="1238" spans="8:8" x14ac:dyDescent="0.3">
      <c r="H1238" s="23"/>
    </row>
    <row r="1239" spans="8:8" x14ac:dyDescent="0.3">
      <c r="H1239" s="23"/>
    </row>
    <row r="1240" spans="8:8" x14ac:dyDescent="0.3">
      <c r="H1240" s="23"/>
    </row>
    <row r="1241" spans="8:8" x14ac:dyDescent="0.3">
      <c r="H1241" s="23"/>
    </row>
    <row r="1242" spans="8:8" x14ac:dyDescent="0.3">
      <c r="H1242" s="23"/>
    </row>
    <row r="1243" spans="8:8" x14ac:dyDescent="0.3">
      <c r="H1243" s="23"/>
    </row>
    <row r="1244" spans="8:8" x14ac:dyDescent="0.3">
      <c r="H1244" s="23"/>
    </row>
    <row r="1245" spans="8:8" x14ac:dyDescent="0.3">
      <c r="H1245" s="23"/>
    </row>
    <row r="1246" spans="8:8" x14ac:dyDescent="0.3">
      <c r="H1246" s="23"/>
    </row>
    <row r="1247" spans="8:8" x14ac:dyDescent="0.3">
      <c r="H1247" s="23"/>
    </row>
    <row r="1248" spans="8:8" x14ac:dyDescent="0.3">
      <c r="H1248" s="23"/>
    </row>
    <row r="1249" spans="8:8" x14ac:dyDescent="0.3">
      <c r="H1249" s="23"/>
    </row>
    <row r="1250" spans="8:8" x14ac:dyDescent="0.3">
      <c r="H1250" s="23"/>
    </row>
    <row r="1251" spans="8:8" x14ac:dyDescent="0.3">
      <c r="H1251" s="23"/>
    </row>
    <row r="1252" spans="8:8" x14ac:dyDescent="0.3">
      <c r="H1252" s="23"/>
    </row>
    <row r="1253" spans="8:8" x14ac:dyDescent="0.3">
      <c r="H1253" s="23"/>
    </row>
    <row r="1254" spans="8:8" x14ac:dyDescent="0.3">
      <c r="H1254" s="23"/>
    </row>
    <row r="1255" spans="8:8" x14ac:dyDescent="0.3">
      <c r="H1255" s="23"/>
    </row>
    <row r="1256" spans="8:8" x14ac:dyDescent="0.3">
      <c r="H1256" s="23"/>
    </row>
    <row r="1257" spans="8:8" x14ac:dyDescent="0.3">
      <c r="H1257" s="23"/>
    </row>
    <row r="1258" spans="8:8" x14ac:dyDescent="0.3">
      <c r="H1258" s="23"/>
    </row>
    <row r="1259" spans="8:8" x14ac:dyDescent="0.3">
      <c r="H1259" s="23"/>
    </row>
    <row r="1260" spans="8:8" x14ac:dyDescent="0.3">
      <c r="H1260" s="23"/>
    </row>
    <row r="1261" spans="8:8" x14ac:dyDescent="0.3">
      <c r="H1261" s="23"/>
    </row>
    <row r="1262" spans="8:8" x14ac:dyDescent="0.3">
      <c r="H1262" s="23"/>
    </row>
    <row r="1263" spans="8:8" x14ac:dyDescent="0.3">
      <c r="H1263" s="23"/>
    </row>
    <row r="1264" spans="8:8" x14ac:dyDescent="0.3">
      <c r="H1264" s="23"/>
    </row>
    <row r="1265" spans="8:8" x14ac:dyDescent="0.3">
      <c r="H1265" s="23"/>
    </row>
    <row r="1266" spans="8:8" x14ac:dyDescent="0.3">
      <c r="H1266" s="23"/>
    </row>
    <row r="1267" spans="8:8" x14ac:dyDescent="0.3">
      <c r="H1267" s="23"/>
    </row>
    <row r="1268" spans="8:8" x14ac:dyDescent="0.3">
      <c r="H1268" s="23"/>
    </row>
    <row r="1269" spans="8:8" x14ac:dyDescent="0.3">
      <c r="H1269" s="23"/>
    </row>
    <row r="1270" spans="8:8" x14ac:dyDescent="0.3">
      <c r="H1270" s="23"/>
    </row>
    <row r="1271" spans="8:8" x14ac:dyDescent="0.3">
      <c r="H1271" s="23"/>
    </row>
    <row r="1272" spans="8:8" x14ac:dyDescent="0.3">
      <c r="H1272" s="23"/>
    </row>
    <row r="1273" spans="8:8" x14ac:dyDescent="0.3">
      <c r="H1273" s="23"/>
    </row>
    <row r="1274" spans="8:8" x14ac:dyDescent="0.3">
      <c r="H1274" s="23"/>
    </row>
    <row r="1275" spans="8:8" x14ac:dyDescent="0.3">
      <c r="H1275" s="23"/>
    </row>
    <row r="1276" spans="8:8" x14ac:dyDescent="0.3">
      <c r="H1276" s="23"/>
    </row>
    <row r="1277" spans="8:8" x14ac:dyDescent="0.3">
      <c r="H1277" s="23"/>
    </row>
    <row r="1278" spans="8:8" x14ac:dyDescent="0.3">
      <c r="H1278" s="23"/>
    </row>
    <row r="1279" spans="8:8" x14ac:dyDescent="0.3">
      <c r="H1279" s="23"/>
    </row>
    <row r="1280" spans="8:8" x14ac:dyDescent="0.3">
      <c r="H1280" s="23"/>
    </row>
    <row r="1281" spans="8:8" x14ac:dyDescent="0.3">
      <c r="H1281" s="23"/>
    </row>
    <row r="1282" spans="8:8" x14ac:dyDescent="0.3">
      <c r="H1282" s="23"/>
    </row>
    <row r="1283" spans="8:8" x14ac:dyDescent="0.3">
      <c r="H1283" s="23"/>
    </row>
    <row r="1284" spans="8:8" x14ac:dyDescent="0.3">
      <c r="H1284" s="23"/>
    </row>
    <row r="1285" spans="8:8" x14ac:dyDescent="0.3">
      <c r="H1285" s="23"/>
    </row>
    <row r="1286" spans="8:8" x14ac:dyDescent="0.3">
      <c r="H1286" s="23"/>
    </row>
    <row r="1287" spans="8:8" x14ac:dyDescent="0.3">
      <c r="H1287" s="23"/>
    </row>
    <row r="1288" spans="8:8" x14ac:dyDescent="0.3">
      <c r="H1288" s="23"/>
    </row>
    <row r="1289" spans="8:8" x14ac:dyDescent="0.3">
      <c r="H1289" s="23"/>
    </row>
    <row r="1290" spans="8:8" x14ac:dyDescent="0.3">
      <c r="H1290" s="23"/>
    </row>
    <row r="1291" spans="8:8" x14ac:dyDescent="0.3">
      <c r="H1291" s="23"/>
    </row>
    <row r="1292" spans="8:8" x14ac:dyDescent="0.3">
      <c r="H1292" s="23"/>
    </row>
    <row r="1293" spans="8:8" x14ac:dyDescent="0.3">
      <c r="H1293" s="23"/>
    </row>
    <row r="1294" spans="8:8" x14ac:dyDescent="0.3">
      <c r="H1294" s="23"/>
    </row>
    <row r="1295" spans="8:8" x14ac:dyDescent="0.3">
      <c r="H1295" s="23"/>
    </row>
    <row r="1296" spans="8:8" x14ac:dyDescent="0.3">
      <c r="H1296" s="23"/>
    </row>
    <row r="1297" spans="8:8" x14ac:dyDescent="0.3">
      <c r="H1297" s="23"/>
    </row>
    <row r="1298" spans="8:8" x14ac:dyDescent="0.3">
      <c r="H1298" s="23"/>
    </row>
    <row r="1299" spans="8:8" x14ac:dyDescent="0.3">
      <c r="H1299" s="23"/>
    </row>
    <row r="1300" spans="8:8" x14ac:dyDescent="0.3">
      <c r="H1300" s="23"/>
    </row>
    <row r="1301" spans="8:8" x14ac:dyDescent="0.3">
      <c r="H1301" s="23"/>
    </row>
    <row r="1302" spans="8:8" x14ac:dyDescent="0.3">
      <c r="H1302" s="23"/>
    </row>
    <row r="1303" spans="8:8" x14ac:dyDescent="0.3">
      <c r="H1303" s="23"/>
    </row>
    <row r="1304" spans="8:8" x14ac:dyDescent="0.3">
      <c r="H1304" s="23"/>
    </row>
    <row r="1305" spans="8:8" x14ac:dyDescent="0.3">
      <c r="H1305" s="23"/>
    </row>
    <row r="1306" spans="8:8" x14ac:dyDescent="0.3">
      <c r="H1306" s="23"/>
    </row>
    <row r="1307" spans="8:8" x14ac:dyDescent="0.3">
      <c r="H1307" s="23"/>
    </row>
    <row r="1308" spans="8:8" x14ac:dyDescent="0.3">
      <c r="H1308" s="23"/>
    </row>
    <row r="1309" spans="8:8" x14ac:dyDescent="0.3">
      <c r="H1309" s="23"/>
    </row>
    <row r="1310" spans="8:8" x14ac:dyDescent="0.3">
      <c r="H1310" s="23"/>
    </row>
    <row r="1311" spans="8:8" x14ac:dyDescent="0.3">
      <c r="H1311" s="23"/>
    </row>
    <row r="1312" spans="8:8" x14ac:dyDescent="0.3">
      <c r="H1312" s="23"/>
    </row>
    <row r="1313" spans="8:8" x14ac:dyDescent="0.3">
      <c r="H1313" s="23"/>
    </row>
    <row r="1314" spans="8:8" x14ac:dyDescent="0.3">
      <c r="H1314" s="23"/>
    </row>
    <row r="1315" spans="8:8" x14ac:dyDescent="0.3">
      <c r="H1315" s="23"/>
    </row>
    <row r="1316" spans="8:8" x14ac:dyDescent="0.3">
      <c r="H1316" s="23"/>
    </row>
    <row r="1317" spans="8:8" x14ac:dyDescent="0.3">
      <c r="H1317" s="23"/>
    </row>
    <row r="1318" spans="8:8" x14ac:dyDescent="0.3">
      <c r="H1318" s="23"/>
    </row>
    <row r="1319" spans="8:8" x14ac:dyDescent="0.3">
      <c r="H1319" s="23"/>
    </row>
    <row r="1320" spans="8:8" x14ac:dyDescent="0.3">
      <c r="H1320" s="23"/>
    </row>
    <row r="1321" spans="8:8" x14ac:dyDescent="0.3">
      <c r="H1321" s="23"/>
    </row>
    <row r="1322" spans="8:8" x14ac:dyDescent="0.3">
      <c r="H1322" s="23"/>
    </row>
    <row r="1323" spans="8:8" x14ac:dyDescent="0.3">
      <c r="H1323" s="23"/>
    </row>
    <row r="1324" spans="8:8" x14ac:dyDescent="0.3">
      <c r="H1324" s="23"/>
    </row>
    <row r="1325" spans="8:8" x14ac:dyDescent="0.3">
      <c r="H1325" s="23"/>
    </row>
    <row r="1326" spans="8:8" x14ac:dyDescent="0.3">
      <c r="H1326" s="23"/>
    </row>
    <row r="1327" spans="8:8" x14ac:dyDescent="0.3">
      <c r="H1327" s="23"/>
    </row>
    <row r="1328" spans="8:8" x14ac:dyDescent="0.3">
      <c r="H1328" s="23"/>
    </row>
    <row r="1329" spans="8:8" x14ac:dyDescent="0.3">
      <c r="H1329" s="23"/>
    </row>
    <row r="1330" spans="8:8" x14ac:dyDescent="0.3">
      <c r="H1330" s="23"/>
    </row>
    <row r="1331" spans="8:8" x14ac:dyDescent="0.3">
      <c r="H1331" s="23"/>
    </row>
    <row r="1332" spans="8:8" x14ac:dyDescent="0.3">
      <c r="H1332" s="23"/>
    </row>
    <row r="1333" spans="8:8" x14ac:dyDescent="0.3">
      <c r="H1333" s="23"/>
    </row>
    <row r="1334" spans="8:8" x14ac:dyDescent="0.3">
      <c r="H1334" s="23"/>
    </row>
    <row r="1335" spans="8:8" x14ac:dyDescent="0.3">
      <c r="H1335" s="23"/>
    </row>
    <row r="1336" spans="8:8" x14ac:dyDescent="0.3">
      <c r="H1336" s="23"/>
    </row>
    <row r="1337" spans="8:8" x14ac:dyDescent="0.3">
      <c r="H1337" s="23"/>
    </row>
    <row r="1338" spans="8:8" x14ac:dyDescent="0.3">
      <c r="H1338" s="23"/>
    </row>
    <row r="1339" spans="8:8" x14ac:dyDescent="0.3">
      <c r="H1339" s="23"/>
    </row>
    <row r="1340" spans="8:8" x14ac:dyDescent="0.3">
      <c r="H1340" s="23"/>
    </row>
    <row r="1341" spans="8:8" x14ac:dyDescent="0.3">
      <c r="H1341" s="23"/>
    </row>
    <row r="1342" spans="8:8" x14ac:dyDescent="0.3">
      <c r="H1342" s="23"/>
    </row>
    <row r="1343" spans="8:8" x14ac:dyDescent="0.3">
      <c r="H1343" s="23"/>
    </row>
    <row r="1344" spans="8:8" x14ac:dyDescent="0.3">
      <c r="H1344" s="23"/>
    </row>
    <row r="1345" spans="8:8" x14ac:dyDescent="0.3">
      <c r="H1345" s="23"/>
    </row>
    <row r="1346" spans="8:8" x14ac:dyDescent="0.3">
      <c r="H1346" s="23"/>
    </row>
    <row r="1347" spans="8:8" x14ac:dyDescent="0.3">
      <c r="H1347" s="23"/>
    </row>
    <row r="1348" spans="8:8" x14ac:dyDescent="0.3">
      <c r="H1348" s="23"/>
    </row>
    <row r="1349" spans="8:8" x14ac:dyDescent="0.3">
      <c r="H1349" s="23"/>
    </row>
    <row r="1350" spans="8:8" x14ac:dyDescent="0.3">
      <c r="H1350" s="23"/>
    </row>
    <row r="1351" spans="8:8" x14ac:dyDescent="0.3">
      <c r="H1351" s="23"/>
    </row>
    <row r="1352" spans="8:8" x14ac:dyDescent="0.3">
      <c r="H1352" s="23"/>
    </row>
    <row r="1353" spans="8:8" x14ac:dyDescent="0.3">
      <c r="H1353" s="23"/>
    </row>
    <row r="1354" spans="8:8" x14ac:dyDescent="0.3">
      <c r="H1354" s="23"/>
    </row>
    <row r="1355" spans="8:8" x14ac:dyDescent="0.3">
      <c r="H1355" s="23"/>
    </row>
    <row r="1356" spans="8:8" x14ac:dyDescent="0.3">
      <c r="H1356" s="23"/>
    </row>
    <row r="1357" spans="8:8" x14ac:dyDescent="0.3">
      <c r="H1357" s="23"/>
    </row>
    <row r="1358" spans="8:8" x14ac:dyDescent="0.3">
      <c r="H1358" s="23"/>
    </row>
    <row r="1359" spans="8:8" x14ac:dyDescent="0.3">
      <c r="H1359" s="23"/>
    </row>
    <row r="1360" spans="8:8" x14ac:dyDescent="0.3">
      <c r="H1360" s="23"/>
    </row>
    <row r="1361" spans="8:8" x14ac:dyDescent="0.3">
      <c r="H1361" s="23"/>
    </row>
    <row r="1362" spans="8:8" x14ac:dyDescent="0.3">
      <c r="H1362" s="23"/>
    </row>
    <row r="1363" spans="8:8" x14ac:dyDescent="0.3">
      <c r="H1363" s="23"/>
    </row>
    <row r="1364" spans="8:8" x14ac:dyDescent="0.3">
      <c r="H1364" s="23"/>
    </row>
    <row r="1365" spans="8:8" x14ac:dyDescent="0.3">
      <c r="H1365" s="23"/>
    </row>
    <row r="1366" spans="8:8" x14ac:dyDescent="0.3">
      <c r="H1366" s="23"/>
    </row>
    <row r="1367" spans="8:8" x14ac:dyDescent="0.3">
      <c r="H1367" s="23"/>
    </row>
    <row r="1368" spans="8:8" x14ac:dyDescent="0.3">
      <c r="H1368" s="23"/>
    </row>
    <row r="1369" spans="8:8" x14ac:dyDescent="0.3">
      <c r="H1369" s="23"/>
    </row>
    <row r="1370" spans="8:8" x14ac:dyDescent="0.3">
      <c r="H1370" s="23"/>
    </row>
    <row r="1371" spans="8:8" x14ac:dyDescent="0.3">
      <c r="H1371" s="23"/>
    </row>
    <row r="1372" spans="8:8" x14ac:dyDescent="0.3">
      <c r="H1372" s="23"/>
    </row>
    <row r="1373" spans="8:8" x14ac:dyDescent="0.3">
      <c r="H1373" s="23"/>
    </row>
    <row r="1374" spans="8:8" x14ac:dyDescent="0.3">
      <c r="H1374" s="23"/>
    </row>
    <row r="1375" spans="8:8" x14ac:dyDescent="0.3">
      <c r="H1375" s="23"/>
    </row>
    <row r="1376" spans="8:8" x14ac:dyDescent="0.3">
      <c r="H1376" s="23"/>
    </row>
    <row r="1377" spans="8:8" x14ac:dyDescent="0.3">
      <c r="H1377" s="23"/>
    </row>
    <row r="1378" spans="8:8" x14ac:dyDescent="0.3">
      <c r="H1378" s="23"/>
    </row>
    <row r="1379" spans="8:8" x14ac:dyDescent="0.3">
      <c r="H1379" s="23"/>
    </row>
    <row r="1380" spans="8:8" x14ac:dyDescent="0.3">
      <c r="H1380" s="23"/>
    </row>
    <row r="1381" spans="8:8" x14ac:dyDescent="0.3">
      <c r="H1381" s="23"/>
    </row>
    <row r="1382" spans="8:8" x14ac:dyDescent="0.3">
      <c r="H1382" s="23"/>
    </row>
    <row r="1383" spans="8:8" x14ac:dyDescent="0.3">
      <c r="H1383" s="23"/>
    </row>
    <row r="1384" spans="8:8" x14ac:dyDescent="0.3">
      <c r="H1384" s="23"/>
    </row>
    <row r="1385" spans="8:8" x14ac:dyDescent="0.3">
      <c r="H1385" s="23"/>
    </row>
    <row r="1386" spans="8:8" x14ac:dyDescent="0.3">
      <c r="H1386" s="23"/>
    </row>
    <row r="1387" spans="8:8" x14ac:dyDescent="0.3">
      <c r="H1387" s="23"/>
    </row>
    <row r="1388" spans="8:8" x14ac:dyDescent="0.3">
      <c r="H1388" s="23"/>
    </row>
    <row r="1389" spans="8:8" x14ac:dyDescent="0.3">
      <c r="H1389" s="23"/>
    </row>
    <row r="1390" spans="8:8" x14ac:dyDescent="0.3">
      <c r="H1390" s="23"/>
    </row>
    <row r="1391" spans="8:8" x14ac:dyDescent="0.3">
      <c r="H1391" s="23"/>
    </row>
    <row r="1392" spans="8:8" x14ac:dyDescent="0.3">
      <c r="H1392" s="23"/>
    </row>
    <row r="1393" spans="8:8" x14ac:dyDescent="0.3">
      <c r="H1393" s="23"/>
    </row>
    <row r="1394" spans="8:8" x14ac:dyDescent="0.3">
      <c r="H1394" s="23"/>
    </row>
    <row r="1395" spans="8:8" x14ac:dyDescent="0.3">
      <c r="H1395" s="23"/>
    </row>
    <row r="1396" spans="8:8" x14ac:dyDescent="0.3">
      <c r="H1396" s="23"/>
    </row>
    <row r="1397" spans="8:8" x14ac:dyDescent="0.3">
      <c r="H1397" s="23"/>
    </row>
    <row r="1398" spans="8:8" x14ac:dyDescent="0.3">
      <c r="H1398" s="23"/>
    </row>
    <row r="1399" spans="8:8" x14ac:dyDescent="0.3">
      <c r="H1399" s="23"/>
    </row>
    <row r="1400" spans="8:8" x14ac:dyDescent="0.3">
      <c r="H1400" s="23"/>
    </row>
    <row r="1401" spans="8:8" x14ac:dyDescent="0.3">
      <c r="H1401" s="23"/>
    </row>
    <row r="1402" spans="8:8" x14ac:dyDescent="0.3">
      <c r="H1402" s="23"/>
    </row>
    <row r="1403" spans="8:8" x14ac:dyDescent="0.3">
      <c r="H1403" s="23"/>
    </row>
    <row r="1404" spans="8:8" x14ac:dyDescent="0.3">
      <c r="H1404" s="23"/>
    </row>
    <row r="1405" spans="8:8" x14ac:dyDescent="0.3">
      <c r="H1405" s="23"/>
    </row>
    <row r="1406" spans="8:8" x14ac:dyDescent="0.3">
      <c r="H1406" s="23"/>
    </row>
    <row r="1407" spans="8:8" x14ac:dyDescent="0.3">
      <c r="H1407" s="23"/>
    </row>
    <row r="1408" spans="8:8" x14ac:dyDescent="0.3">
      <c r="H1408" s="23"/>
    </row>
    <row r="1409" spans="8:8" x14ac:dyDescent="0.3">
      <c r="H1409" s="23"/>
    </row>
    <row r="1410" spans="8:8" x14ac:dyDescent="0.3">
      <c r="H1410" s="23"/>
    </row>
    <row r="1411" spans="8:8" x14ac:dyDescent="0.3">
      <c r="H1411" s="23"/>
    </row>
    <row r="1412" spans="8:8" x14ac:dyDescent="0.3">
      <c r="H1412" s="23"/>
    </row>
    <row r="1413" spans="8:8" x14ac:dyDescent="0.3">
      <c r="H1413" s="23"/>
    </row>
    <row r="1414" spans="8:8" x14ac:dyDescent="0.3">
      <c r="H1414" s="23"/>
    </row>
    <row r="1415" spans="8:8" x14ac:dyDescent="0.3">
      <c r="H1415" s="23"/>
    </row>
    <row r="1416" spans="8:8" x14ac:dyDescent="0.3">
      <c r="H1416" s="23"/>
    </row>
    <row r="1417" spans="8:8" x14ac:dyDescent="0.3">
      <c r="H1417" s="23"/>
    </row>
    <row r="1418" spans="8:8" x14ac:dyDescent="0.3">
      <c r="H1418" s="23"/>
    </row>
    <row r="1419" spans="8:8" x14ac:dyDescent="0.3">
      <c r="H1419" s="23"/>
    </row>
    <row r="1420" spans="8:8" x14ac:dyDescent="0.3">
      <c r="H1420" s="23"/>
    </row>
    <row r="1421" spans="8:8" x14ac:dyDescent="0.3">
      <c r="H1421" s="23"/>
    </row>
    <row r="1422" spans="8:8" x14ac:dyDescent="0.3">
      <c r="H1422" s="23"/>
    </row>
    <row r="1423" spans="8:8" x14ac:dyDescent="0.3">
      <c r="H1423" s="23"/>
    </row>
    <row r="1424" spans="8:8" x14ac:dyDescent="0.3">
      <c r="H1424" s="23"/>
    </row>
    <row r="1425" spans="8:8" x14ac:dyDescent="0.3">
      <c r="H1425" s="23"/>
    </row>
    <row r="1426" spans="8:8" x14ac:dyDescent="0.3">
      <c r="H1426" s="23"/>
    </row>
    <row r="1427" spans="8:8" x14ac:dyDescent="0.3">
      <c r="H1427" s="23"/>
    </row>
    <row r="1428" spans="8:8" x14ac:dyDescent="0.3">
      <c r="H1428" s="23"/>
    </row>
    <row r="1429" spans="8:8" x14ac:dyDescent="0.3">
      <c r="H1429" s="23"/>
    </row>
    <row r="1430" spans="8:8" x14ac:dyDescent="0.3">
      <c r="H1430" s="23"/>
    </row>
    <row r="1431" spans="8:8" x14ac:dyDescent="0.3">
      <c r="H1431" s="23"/>
    </row>
    <row r="1432" spans="8:8" x14ac:dyDescent="0.3">
      <c r="H1432" s="23"/>
    </row>
    <row r="1433" spans="8:8" x14ac:dyDescent="0.3">
      <c r="H1433" s="23"/>
    </row>
    <row r="1434" spans="8:8" x14ac:dyDescent="0.3">
      <c r="H1434" s="23"/>
    </row>
    <row r="1435" spans="8:8" x14ac:dyDescent="0.3">
      <c r="H1435" s="23"/>
    </row>
    <row r="1436" spans="8:8" x14ac:dyDescent="0.3">
      <c r="H1436" s="23"/>
    </row>
    <row r="1437" spans="8:8" x14ac:dyDescent="0.3">
      <c r="H1437" s="23"/>
    </row>
    <row r="1438" spans="8:8" x14ac:dyDescent="0.3">
      <c r="H1438" s="23"/>
    </row>
    <row r="1439" spans="8:8" x14ac:dyDescent="0.3">
      <c r="H1439" s="23"/>
    </row>
    <row r="1440" spans="8:8" x14ac:dyDescent="0.3">
      <c r="H1440" s="23"/>
    </row>
    <row r="1441" spans="8:8" x14ac:dyDescent="0.3">
      <c r="H1441" s="23"/>
    </row>
    <row r="1442" spans="8:8" x14ac:dyDescent="0.3">
      <c r="H1442" s="23"/>
    </row>
    <row r="1443" spans="8:8" x14ac:dyDescent="0.3">
      <c r="H1443" s="23"/>
    </row>
    <row r="1444" spans="8:8" x14ac:dyDescent="0.3">
      <c r="H1444" s="23"/>
    </row>
    <row r="1445" spans="8:8" x14ac:dyDescent="0.3">
      <c r="H1445" s="23"/>
    </row>
    <row r="1446" spans="8:8" x14ac:dyDescent="0.3">
      <c r="H1446" s="23"/>
    </row>
    <row r="1447" spans="8:8" x14ac:dyDescent="0.3">
      <c r="H1447" s="23"/>
    </row>
    <row r="1448" spans="8:8" x14ac:dyDescent="0.3">
      <c r="H1448" s="23"/>
    </row>
    <row r="1449" spans="8:8" x14ac:dyDescent="0.3">
      <c r="H1449" s="23"/>
    </row>
    <row r="1450" spans="8:8" x14ac:dyDescent="0.3">
      <c r="H1450" s="23"/>
    </row>
    <row r="1451" spans="8:8" x14ac:dyDescent="0.3">
      <c r="H1451" s="23"/>
    </row>
    <row r="1452" spans="8:8" x14ac:dyDescent="0.3">
      <c r="H1452" s="23"/>
    </row>
    <row r="1453" spans="8:8" x14ac:dyDescent="0.3">
      <c r="H1453" s="23"/>
    </row>
    <row r="1454" spans="8:8" x14ac:dyDescent="0.3">
      <c r="H1454" s="23"/>
    </row>
    <row r="1455" spans="8:8" x14ac:dyDescent="0.3">
      <c r="H1455" s="23"/>
    </row>
    <row r="1456" spans="8:8" x14ac:dyDescent="0.3">
      <c r="H1456" s="23"/>
    </row>
    <row r="1457" spans="8:8" x14ac:dyDescent="0.3">
      <c r="H1457" s="23"/>
    </row>
    <row r="1458" spans="8:8" x14ac:dyDescent="0.3">
      <c r="H1458" s="23"/>
    </row>
    <row r="1459" spans="8:8" x14ac:dyDescent="0.3">
      <c r="H1459" s="23"/>
    </row>
    <row r="1460" spans="8:8" x14ac:dyDescent="0.3">
      <c r="H1460" s="23"/>
    </row>
    <row r="1461" spans="8:8" x14ac:dyDescent="0.3">
      <c r="H1461" s="23"/>
    </row>
    <row r="1462" spans="8:8" x14ac:dyDescent="0.3">
      <c r="H1462" s="23"/>
    </row>
    <row r="1463" spans="8:8" x14ac:dyDescent="0.3">
      <c r="H1463" s="23"/>
    </row>
    <row r="1464" spans="8:8" x14ac:dyDescent="0.3">
      <c r="H1464" s="23"/>
    </row>
    <row r="1465" spans="8:8" x14ac:dyDescent="0.3">
      <c r="H1465" s="23"/>
    </row>
    <row r="1466" spans="8:8" x14ac:dyDescent="0.3">
      <c r="H1466" s="23"/>
    </row>
    <row r="1467" spans="8:8" x14ac:dyDescent="0.3">
      <c r="H1467" s="23"/>
    </row>
    <row r="1468" spans="8:8" x14ac:dyDescent="0.3">
      <c r="H1468" s="23"/>
    </row>
    <row r="1469" spans="8:8" x14ac:dyDescent="0.3">
      <c r="H1469" s="23"/>
    </row>
    <row r="1470" spans="8:8" x14ac:dyDescent="0.3">
      <c r="H1470" s="23"/>
    </row>
    <row r="1471" spans="8:8" x14ac:dyDescent="0.3">
      <c r="H1471" s="23"/>
    </row>
    <row r="1472" spans="8:8" x14ac:dyDescent="0.3">
      <c r="H1472" s="23"/>
    </row>
    <row r="1473" spans="8:8" x14ac:dyDescent="0.3">
      <c r="H1473" s="23"/>
    </row>
    <row r="1474" spans="8:8" x14ac:dyDescent="0.3">
      <c r="H1474" s="23"/>
    </row>
    <row r="1475" spans="8:8" x14ac:dyDescent="0.3">
      <c r="H1475" s="23"/>
    </row>
    <row r="1476" spans="8:8" x14ac:dyDescent="0.3">
      <c r="H1476" s="23"/>
    </row>
    <row r="1477" spans="8:8" x14ac:dyDescent="0.3">
      <c r="H1477" s="23"/>
    </row>
    <row r="1478" spans="8:8" x14ac:dyDescent="0.3">
      <c r="H1478" s="23"/>
    </row>
    <row r="1479" spans="8:8" x14ac:dyDescent="0.3">
      <c r="H1479" s="23"/>
    </row>
    <row r="1480" spans="8:8" x14ac:dyDescent="0.3">
      <c r="H1480" s="23"/>
    </row>
    <row r="1481" spans="8:8" x14ac:dyDescent="0.3">
      <c r="H1481" s="23"/>
    </row>
    <row r="1482" spans="8:8" x14ac:dyDescent="0.3">
      <c r="H1482" s="23"/>
    </row>
    <row r="1483" spans="8:8" x14ac:dyDescent="0.3">
      <c r="H1483" s="23"/>
    </row>
    <row r="1484" spans="8:8" x14ac:dyDescent="0.3">
      <c r="H1484" s="23"/>
    </row>
    <row r="1485" spans="8:8" x14ac:dyDescent="0.3">
      <c r="H1485" s="23"/>
    </row>
    <row r="1486" spans="8:8" x14ac:dyDescent="0.3">
      <c r="H1486" s="23"/>
    </row>
    <row r="1487" spans="8:8" x14ac:dyDescent="0.3">
      <c r="H1487" s="23"/>
    </row>
    <row r="1488" spans="8:8" x14ac:dyDescent="0.3">
      <c r="H1488" s="23"/>
    </row>
    <row r="1489" spans="8:8" x14ac:dyDescent="0.3">
      <c r="H1489" s="23"/>
    </row>
    <row r="1490" spans="8:8" x14ac:dyDescent="0.3">
      <c r="H1490" s="23"/>
    </row>
    <row r="1491" spans="8:8" x14ac:dyDescent="0.3">
      <c r="H1491" s="23"/>
    </row>
    <row r="1492" spans="8:8" x14ac:dyDescent="0.3">
      <c r="H1492" s="23"/>
    </row>
    <row r="1493" spans="8:8" x14ac:dyDescent="0.3">
      <c r="H1493" s="23"/>
    </row>
    <row r="1494" spans="8:8" x14ac:dyDescent="0.3">
      <c r="H1494" s="23"/>
    </row>
    <row r="1495" spans="8:8" x14ac:dyDescent="0.3">
      <c r="H1495" s="23"/>
    </row>
    <row r="1496" spans="8:8" x14ac:dyDescent="0.3">
      <c r="H1496" s="23"/>
    </row>
    <row r="1497" spans="8:8" x14ac:dyDescent="0.3">
      <c r="H1497" s="23"/>
    </row>
    <row r="1498" spans="8:8" x14ac:dyDescent="0.3">
      <c r="H1498" s="23"/>
    </row>
    <row r="1499" spans="8:8" x14ac:dyDescent="0.3">
      <c r="H1499" s="23"/>
    </row>
    <row r="1500" spans="8:8" x14ac:dyDescent="0.3">
      <c r="H1500" s="23"/>
    </row>
    <row r="1501" spans="8:8" x14ac:dyDescent="0.3">
      <c r="H1501" s="23"/>
    </row>
    <row r="1502" spans="8:8" x14ac:dyDescent="0.3">
      <c r="H1502" s="23"/>
    </row>
    <row r="1503" spans="8:8" x14ac:dyDescent="0.3">
      <c r="H1503" s="23"/>
    </row>
    <row r="1504" spans="8:8" x14ac:dyDescent="0.3">
      <c r="H1504" s="23"/>
    </row>
    <row r="1505" spans="8:8" x14ac:dyDescent="0.3">
      <c r="H1505" s="23"/>
    </row>
    <row r="1506" spans="8:8" x14ac:dyDescent="0.3">
      <c r="H1506" s="23"/>
    </row>
    <row r="1507" spans="8:8" x14ac:dyDescent="0.3">
      <c r="H1507" s="23"/>
    </row>
    <row r="1508" spans="8:8" x14ac:dyDescent="0.3">
      <c r="H1508" s="23"/>
    </row>
    <row r="1509" spans="8:8" x14ac:dyDescent="0.3">
      <c r="H1509" s="23"/>
    </row>
    <row r="1510" spans="8:8" x14ac:dyDescent="0.3">
      <c r="H1510" s="23"/>
    </row>
    <row r="1511" spans="8:8" x14ac:dyDescent="0.3">
      <c r="H1511" s="23"/>
    </row>
    <row r="1512" spans="8:8" x14ac:dyDescent="0.3">
      <c r="H1512" s="23"/>
    </row>
    <row r="1513" spans="8:8" x14ac:dyDescent="0.3">
      <c r="H1513" s="23"/>
    </row>
    <row r="1514" spans="8:8" x14ac:dyDescent="0.3">
      <c r="H1514" s="23"/>
    </row>
    <row r="1515" spans="8:8" x14ac:dyDescent="0.3">
      <c r="H1515" s="23"/>
    </row>
    <row r="1516" spans="8:8" x14ac:dyDescent="0.3">
      <c r="H1516" s="23"/>
    </row>
    <row r="1517" spans="8:8" x14ac:dyDescent="0.3">
      <c r="H1517" s="23"/>
    </row>
    <row r="1518" spans="8:8" x14ac:dyDescent="0.3">
      <c r="H1518" s="23"/>
    </row>
    <row r="1519" spans="8:8" x14ac:dyDescent="0.3">
      <c r="H1519" s="23"/>
    </row>
    <row r="1520" spans="8:8" x14ac:dyDescent="0.3">
      <c r="H1520" s="23"/>
    </row>
    <row r="1521" spans="8:8" x14ac:dyDescent="0.3">
      <c r="H1521" s="23"/>
    </row>
    <row r="1522" spans="8:8" x14ac:dyDescent="0.3">
      <c r="H1522" s="23"/>
    </row>
    <row r="1523" spans="8:8" x14ac:dyDescent="0.3">
      <c r="H1523" s="23"/>
    </row>
    <row r="1524" spans="8:8" x14ac:dyDescent="0.3">
      <c r="H1524" s="23"/>
    </row>
    <row r="1525" spans="8:8" x14ac:dyDescent="0.3">
      <c r="H1525" s="23"/>
    </row>
    <row r="1526" spans="8:8" x14ac:dyDescent="0.3">
      <c r="H1526" s="23"/>
    </row>
    <row r="1527" spans="8:8" x14ac:dyDescent="0.3">
      <c r="H1527" s="23"/>
    </row>
    <row r="1528" spans="8:8" x14ac:dyDescent="0.3">
      <c r="H1528" s="23"/>
    </row>
    <row r="1529" spans="8:8" x14ac:dyDescent="0.3">
      <c r="H1529" s="23"/>
    </row>
    <row r="1530" spans="8:8" x14ac:dyDescent="0.3">
      <c r="H1530" s="23"/>
    </row>
    <row r="1531" spans="8:8" x14ac:dyDescent="0.3">
      <c r="H1531" s="23"/>
    </row>
    <row r="1532" spans="8:8" x14ac:dyDescent="0.3">
      <c r="H1532" s="23"/>
    </row>
    <row r="1533" spans="8:8" x14ac:dyDescent="0.3">
      <c r="H1533" s="23"/>
    </row>
    <row r="1534" spans="8:8" x14ac:dyDescent="0.3">
      <c r="H1534" s="23"/>
    </row>
    <row r="1535" spans="8:8" x14ac:dyDescent="0.3">
      <c r="H1535" s="23"/>
    </row>
    <row r="1536" spans="8:8" x14ac:dyDescent="0.3">
      <c r="H1536" s="23"/>
    </row>
    <row r="1537" spans="8:8" x14ac:dyDescent="0.3">
      <c r="H1537" s="23"/>
    </row>
    <row r="1538" spans="8:8" x14ac:dyDescent="0.3">
      <c r="H1538" s="23"/>
    </row>
    <row r="1539" spans="8:8" x14ac:dyDescent="0.3">
      <c r="H1539" s="23"/>
    </row>
    <row r="1540" spans="8:8" x14ac:dyDescent="0.3">
      <c r="H1540" s="23"/>
    </row>
    <row r="1541" spans="8:8" x14ac:dyDescent="0.3">
      <c r="H1541" s="23"/>
    </row>
    <row r="1542" spans="8:8" x14ac:dyDescent="0.3">
      <c r="H1542" s="23"/>
    </row>
    <row r="1543" spans="8:8" x14ac:dyDescent="0.3">
      <c r="H1543" s="23"/>
    </row>
    <row r="1544" spans="8:8" x14ac:dyDescent="0.3">
      <c r="H1544" s="23"/>
    </row>
    <row r="1545" spans="8:8" x14ac:dyDescent="0.3">
      <c r="H1545" s="23"/>
    </row>
    <row r="1546" spans="8:8" x14ac:dyDescent="0.3">
      <c r="H1546" s="23"/>
    </row>
    <row r="1547" spans="8:8" x14ac:dyDescent="0.3">
      <c r="H1547" s="23"/>
    </row>
    <row r="1548" spans="8:8" x14ac:dyDescent="0.3">
      <c r="H1548" s="23"/>
    </row>
    <row r="1549" spans="8:8" x14ac:dyDescent="0.3">
      <c r="H1549" s="23"/>
    </row>
    <row r="1550" spans="8:8" x14ac:dyDescent="0.3">
      <c r="H1550" s="23"/>
    </row>
    <row r="1551" spans="8:8" x14ac:dyDescent="0.3">
      <c r="H1551" s="23"/>
    </row>
    <row r="1552" spans="8:8" x14ac:dyDescent="0.3">
      <c r="H1552" s="23"/>
    </row>
    <row r="1553" spans="8:8" x14ac:dyDescent="0.3">
      <c r="H1553" s="23"/>
    </row>
    <row r="1554" spans="8:8" x14ac:dyDescent="0.3">
      <c r="H1554" s="23"/>
    </row>
    <row r="1555" spans="8:8" x14ac:dyDescent="0.3">
      <c r="H1555" s="23"/>
    </row>
    <row r="1556" spans="8:8" x14ac:dyDescent="0.3">
      <c r="H1556" s="23"/>
    </row>
    <row r="1557" spans="8:8" x14ac:dyDescent="0.3">
      <c r="H1557" s="23"/>
    </row>
    <row r="1558" spans="8:8" x14ac:dyDescent="0.3">
      <c r="H1558" s="23"/>
    </row>
    <row r="1559" spans="8:8" x14ac:dyDescent="0.3">
      <c r="H1559" s="23"/>
    </row>
    <row r="1560" spans="8:8" x14ac:dyDescent="0.3">
      <c r="H1560" s="23"/>
    </row>
    <row r="1561" spans="8:8" x14ac:dyDescent="0.3">
      <c r="H1561" s="23"/>
    </row>
    <row r="1562" spans="8:8" x14ac:dyDescent="0.3">
      <c r="H1562" s="23"/>
    </row>
    <row r="1563" spans="8:8" x14ac:dyDescent="0.3">
      <c r="H1563" s="23"/>
    </row>
    <row r="1564" spans="8:8" x14ac:dyDescent="0.3">
      <c r="H1564" s="23"/>
    </row>
    <row r="1565" spans="8:8" x14ac:dyDescent="0.3">
      <c r="H1565" s="23"/>
    </row>
    <row r="1566" spans="8:8" x14ac:dyDescent="0.3">
      <c r="H1566" s="23"/>
    </row>
    <row r="1567" spans="8:8" x14ac:dyDescent="0.3">
      <c r="H1567" s="23"/>
    </row>
    <row r="1568" spans="8:8" x14ac:dyDescent="0.3">
      <c r="H1568" s="23"/>
    </row>
    <row r="1569" spans="8:8" x14ac:dyDescent="0.3">
      <c r="H1569" s="23"/>
    </row>
    <row r="1570" spans="8:8" x14ac:dyDescent="0.3">
      <c r="H1570" s="23"/>
    </row>
    <row r="1571" spans="8:8" x14ac:dyDescent="0.3">
      <c r="H1571" s="23"/>
    </row>
    <row r="1572" spans="8:8" x14ac:dyDescent="0.3">
      <c r="H1572" s="23"/>
    </row>
    <row r="1573" spans="8:8" x14ac:dyDescent="0.3">
      <c r="H1573" s="23"/>
    </row>
    <row r="1574" spans="8:8" x14ac:dyDescent="0.3">
      <c r="H1574" s="23"/>
    </row>
    <row r="1575" spans="8:8" x14ac:dyDescent="0.3">
      <c r="H1575" s="23"/>
    </row>
    <row r="1576" spans="8:8" x14ac:dyDescent="0.3">
      <c r="H1576" s="23"/>
    </row>
    <row r="1577" spans="8:8" x14ac:dyDescent="0.3">
      <c r="H1577" s="23"/>
    </row>
    <row r="1578" spans="8:8" x14ac:dyDescent="0.3">
      <c r="H1578" s="23"/>
    </row>
    <row r="1579" spans="8:8" x14ac:dyDescent="0.3">
      <c r="H1579" s="23"/>
    </row>
    <row r="1580" spans="8:8" x14ac:dyDescent="0.3">
      <c r="H1580" s="23"/>
    </row>
    <row r="1581" spans="8:8" x14ac:dyDescent="0.3">
      <c r="H1581" s="23"/>
    </row>
    <row r="1582" spans="8:8" x14ac:dyDescent="0.3">
      <c r="H1582" s="23"/>
    </row>
    <row r="1583" spans="8:8" x14ac:dyDescent="0.3">
      <c r="H1583" s="23"/>
    </row>
    <row r="1584" spans="8:8" x14ac:dyDescent="0.3">
      <c r="H1584" s="23"/>
    </row>
    <row r="1585" spans="8:8" x14ac:dyDescent="0.3">
      <c r="H1585" s="23"/>
    </row>
    <row r="1586" spans="8:8" x14ac:dyDescent="0.3">
      <c r="H1586" s="23"/>
    </row>
    <row r="1587" spans="8:8" x14ac:dyDescent="0.3">
      <c r="H1587" s="23"/>
    </row>
    <row r="1588" spans="8:8" x14ac:dyDescent="0.3">
      <c r="H1588" s="23"/>
    </row>
    <row r="1589" spans="8:8" x14ac:dyDescent="0.3">
      <c r="H1589" s="23"/>
    </row>
    <row r="1590" spans="8:8" x14ac:dyDescent="0.3">
      <c r="H1590" s="23"/>
    </row>
    <row r="1591" spans="8:8" x14ac:dyDescent="0.3">
      <c r="H1591" s="23"/>
    </row>
    <row r="1592" spans="8:8" x14ac:dyDescent="0.3">
      <c r="H1592" s="23"/>
    </row>
    <row r="1593" spans="8:8" x14ac:dyDescent="0.3">
      <c r="H1593" s="23"/>
    </row>
    <row r="1594" spans="8:8" x14ac:dyDescent="0.3">
      <c r="H1594" s="23"/>
    </row>
    <row r="1595" spans="8:8" x14ac:dyDescent="0.3">
      <c r="H1595" s="23"/>
    </row>
    <row r="1596" spans="8:8" x14ac:dyDescent="0.3">
      <c r="H1596" s="23"/>
    </row>
    <row r="1597" spans="8:8" x14ac:dyDescent="0.3">
      <c r="H1597" s="23"/>
    </row>
    <row r="1598" spans="8:8" x14ac:dyDescent="0.3">
      <c r="H1598" s="23"/>
    </row>
    <row r="1599" spans="8:8" x14ac:dyDescent="0.3">
      <c r="H1599" s="23"/>
    </row>
    <row r="1600" spans="8:8" x14ac:dyDescent="0.3">
      <c r="H1600" s="23"/>
    </row>
    <row r="1601" spans="8:8" x14ac:dyDescent="0.3">
      <c r="H1601" s="23"/>
    </row>
    <row r="1602" spans="8:8" x14ac:dyDescent="0.3">
      <c r="H1602" s="23"/>
    </row>
    <row r="1603" spans="8:8" x14ac:dyDescent="0.3">
      <c r="H1603" s="23"/>
    </row>
    <row r="1604" spans="8:8" x14ac:dyDescent="0.3">
      <c r="H1604" s="23"/>
    </row>
    <row r="1605" spans="8:8" x14ac:dyDescent="0.3">
      <c r="H1605" s="23"/>
    </row>
    <row r="1606" spans="8:8" x14ac:dyDescent="0.3">
      <c r="H1606" s="23"/>
    </row>
    <row r="1607" spans="8:8" x14ac:dyDescent="0.3">
      <c r="H1607" s="23"/>
    </row>
    <row r="1608" spans="8:8" x14ac:dyDescent="0.3">
      <c r="H1608" s="23"/>
    </row>
    <row r="1609" spans="8:8" x14ac:dyDescent="0.3">
      <c r="H1609" s="23"/>
    </row>
    <row r="1610" spans="8:8" x14ac:dyDescent="0.3">
      <c r="H1610" s="23"/>
    </row>
    <row r="1611" spans="8:8" x14ac:dyDescent="0.3">
      <c r="H1611" s="23"/>
    </row>
    <row r="1612" spans="8:8" x14ac:dyDescent="0.3">
      <c r="H1612" s="23"/>
    </row>
    <row r="1613" spans="8:8" x14ac:dyDescent="0.3">
      <c r="H1613" s="23"/>
    </row>
    <row r="1614" spans="8:8" x14ac:dyDescent="0.3">
      <c r="H1614" s="23"/>
    </row>
    <row r="1615" spans="8:8" x14ac:dyDescent="0.3">
      <c r="H1615" s="23"/>
    </row>
    <row r="1616" spans="8:8" x14ac:dyDescent="0.3">
      <c r="H1616" s="23"/>
    </row>
    <row r="1617" spans="8:8" x14ac:dyDescent="0.3">
      <c r="H1617" s="23"/>
    </row>
    <row r="1618" spans="8:8" x14ac:dyDescent="0.3">
      <c r="H1618" s="23"/>
    </row>
    <row r="1619" spans="8:8" x14ac:dyDescent="0.3">
      <c r="H1619" s="23"/>
    </row>
    <row r="1620" spans="8:8" x14ac:dyDescent="0.3">
      <c r="H1620" s="23"/>
    </row>
    <row r="1621" spans="8:8" x14ac:dyDescent="0.3">
      <c r="H1621" s="23"/>
    </row>
    <row r="1622" spans="8:8" x14ac:dyDescent="0.3">
      <c r="H1622" s="23"/>
    </row>
    <row r="1623" spans="8:8" x14ac:dyDescent="0.3">
      <c r="H1623" s="23"/>
    </row>
    <row r="1624" spans="8:8" x14ac:dyDescent="0.3">
      <c r="H1624" s="23"/>
    </row>
    <row r="1625" spans="8:8" x14ac:dyDescent="0.3">
      <c r="H1625" s="23"/>
    </row>
    <row r="1626" spans="8:8" x14ac:dyDescent="0.3">
      <c r="H1626" s="23"/>
    </row>
    <row r="1627" spans="8:8" x14ac:dyDescent="0.3">
      <c r="H1627" s="23"/>
    </row>
    <row r="1628" spans="8:8" x14ac:dyDescent="0.3">
      <c r="H1628" s="23"/>
    </row>
    <row r="1629" spans="8:8" x14ac:dyDescent="0.3">
      <c r="H1629" s="23"/>
    </row>
    <row r="1630" spans="8:8" x14ac:dyDescent="0.3">
      <c r="H1630" s="23"/>
    </row>
    <row r="1631" spans="8:8" x14ac:dyDescent="0.3">
      <c r="H1631" s="23"/>
    </row>
    <row r="1632" spans="8:8" x14ac:dyDescent="0.3">
      <c r="H1632" s="23"/>
    </row>
    <row r="1633" spans="8:8" x14ac:dyDescent="0.3">
      <c r="H1633" s="23"/>
    </row>
    <row r="1634" spans="8:8" x14ac:dyDescent="0.3">
      <c r="H1634" s="23"/>
    </row>
    <row r="1635" spans="8:8" x14ac:dyDescent="0.3">
      <c r="H1635" s="23"/>
    </row>
    <row r="1636" spans="8:8" x14ac:dyDescent="0.3">
      <c r="H1636" s="23"/>
    </row>
    <row r="1637" spans="8:8" x14ac:dyDescent="0.3">
      <c r="H1637" s="23"/>
    </row>
    <row r="1638" spans="8:8" x14ac:dyDescent="0.3">
      <c r="H1638" s="23"/>
    </row>
    <row r="1639" spans="8:8" x14ac:dyDescent="0.3">
      <c r="H1639" s="23"/>
    </row>
    <row r="1640" spans="8:8" x14ac:dyDescent="0.3">
      <c r="H1640" s="23"/>
    </row>
    <row r="1641" spans="8:8" x14ac:dyDescent="0.3">
      <c r="H1641" s="23"/>
    </row>
    <row r="1642" spans="8:8" x14ac:dyDescent="0.3">
      <c r="H1642" s="23"/>
    </row>
    <row r="1643" spans="8:8" x14ac:dyDescent="0.3">
      <c r="H1643" s="23"/>
    </row>
    <row r="1644" spans="8:8" x14ac:dyDescent="0.3">
      <c r="H1644" s="23"/>
    </row>
    <row r="1645" spans="8:8" x14ac:dyDescent="0.3">
      <c r="H1645" s="23"/>
    </row>
    <row r="1646" spans="8:8" x14ac:dyDescent="0.3">
      <c r="H1646" s="23"/>
    </row>
    <row r="1647" spans="8:8" x14ac:dyDescent="0.3">
      <c r="H1647" s="23"/>
    </row>
    <row r="1648" spans="8:8" x14ac:dyDescent="0.3">
      <c r="H1648" s="23"/>
    </row>
    <row r="1649" spans="8:8" x14ac:dyDescent="0.3">
      <c r="H1649" s="23"/>
    </row>
    <row r="1650" spans="8:8" x14ac:dyDescent="0.3">
      <c r="H1650" s="23"/>
    </row>
    <row r="1651" spans="8:8" x14ac:dyDescent="0.3">
      <c r="H1651" s="23"/>
    </row>
    <row r="1652" spans="8:8" x14ac:dyDescent="0.3">
      <c r="H1652" s="23"/>
    </row>
    <row r="1653" spans="8:8" x14ac:dyDescent="0.3">
      <c r="H1653" s="23"/>
    </row>
    <row r="1654" spans="8:8" x14ac:dyDescent="0.3">
      <c r="H1654" s="23"/>
    </row>
    <row r="1655" spans="8:8" x14ac:dyDescent="0.3">
      <c r="H1655" s="23"/>
    </row>
    <row r="1656" spans="8:8" x14ac:dyDescent="0.3">
      <c r="H1656" s="23"/>
    </row>
    <row r="1657" spans="8:8" x14ac:dyDescent="0.3">
      <c r="H1657" s="23"/>
    </row>
    <row r="1658" spans="8:8" x14ac:dyDescent="0.3">
      <c r="H1658" s="23"/>
    </row>
    <row r="1659" spans="8:8" x14ac:dyDescent="0.3">
      <c r="H1659" s="23"/>
    </row>
    <row r="1660" spans="8:8" x14ac:dyDescent="0.3">
      <c r="H1660" s="23"/>
    </row>
    <row r="1661" spans="8:8" x14ac:dyDescent="0.3">
      <c r="H1661" s="23"/>
    </row>
    <row r="1662" spans="8:8" x14ac:dyDescent="0.3">
      <c r="H1662" s="23"/>
    </row>
    <row r="1663" spans="8:8" x14ac:dyDescent="0.3">
      <c r="H1663" s="23"/>
    </row>
    <row r="1664" spans="8:8" x14ac:dyDescent="0.3">
      <c r="H1664" s="23"/>
    </row>
    <row r="1665" spans="8:8" x14ac:dyDescent="0.3">
      <c r="H1665" s="23"/>
    </row>
    <row r="1666" spans="8:8" x14ac:dyDescent="0.3">
      <c r="H1666" s="23"/>
    </row>
    <row r="1667" spans="8:8" x14ac:dyDescent="0.3">
      <c r="H1667" s="23"/>
    </row>
    <row r="1668" spans="8:8" x14ac:dyDescent="0.3">
      <c r="H1668" s="23"/>
    </row>
    <row r="1669" spans="8:8" x14ac:dyDescent="0.3">
      <c r="H1669" s="23"/>
    </row>
    <row r="1670" spans="8:8" x14ac:dyDescent="0.3">
      <c r="H1670" s="23"/>
    </row>
    <row r="1671" spans="8:8" x14ac:dyDescent="0.3">
      <c r="H1671" s="23"/>
    </row>
    <row r="1672" spans="8:8" x14ac:dyDescent="0.3">
      <c r="H1672" s="23"/>
    </row>
    <row r="1673" spans="8:8" x14ac:dyDescent="0.3">
      <c r="H1673" s="23"/>
    </row>
    <row r="1674" spans="8:8" x14ac:dyDescent="0.3">
      <c r="H1674" s="23"/>
    </row>
    <row r="1675" spans="8:8" x14ac:dyDescent="0.3">
      <c r="H1675" s="23"/>
    </row>
    <row r="1676" spans="8:8" x14ac:dyDescent="0.3">
      <c r="H1676" s="23"/>
    </row>
    <row r="1677" spans="8:8" x14ac:dyDescent="0.3">
      <c r="H1677" s="23"/>
    </row>
    <row r="1678" spans="8:8" x14ac:dyDescent="0.3">
      <c r="H1678" s="23"/>
    </row>
    <row r="1679" spans="8:8" x14ac:dyDescent="0.3">
      <c r="H1679" s="23"/>
    </row>
    <row r="1680" spans="8:8" x14ac:dyDescent="0.3">
      <c r="H1680" s="23"/>
    </row>
    <row r="1681" spans="8:8" x14ac:dyDescent="0.3">
      <c r="H1681" s="23"/>
    </row>
    <row r="1682" spans="8:8" x14ac:dyDescent="0.3">
      <c r="H1682" s="23"/>
    </row>
    <row r="1683" spans="8:8" x14ac:dyDescent="0.3">
      <c r="H1683" s="23"/>
    </row>
    <row r="1684" spans="8:8" x14ac:dyDescent="0.3">
      <c r="H1684" s="23"/>
    </row>
    <row r="1685" spans="8:8" x14ac:dyDescent="0.3">
      <c r="H1685" s="23"/>
    </row>
    <row r="1686" spans="8:8" x14ac:dyDescent="0.3">
      <c r="H1686" s="23"/>
    </row>
    <row r="1687" spans="8:8" x14ac:dyDescent="0.3">
      <c r="H1687" s="23"/>
    </row>
    <row r="1688" spans="8:8" x14ac:dyDescent="0.3">
      <c r="H1688" s="23"/>
    </row>
    <row r="1689" spans="8:8" x14ac:dyDescent="0.3">
      <c r="H1689" s="23"/>
    </row>
    <row r="1690" spans="8:8" x14ac:dyDescent="0.3">
      <c r="H1690" s="23"/>
    </row>
    <row r="1691" spans="8:8" x14ac:dyDescent="0.3">
      <c r="H1691" s="23"/>
    </row>
    <row r="1692" spans="8:8" x14ac:dyDescent="0.3">
      <c r="H1692" s="23"/>
    </row>
    <row r="1693" spans="8:8" x14ac:dyDescent="0.3">
      <c r="H1693" s="23"/>
    </row>
    <row r="1694" spans="8:8" x14ac:dyDescent="0.3">
      <c r="H1694" s="23"/>
    </row>
    <row r="1695" spans="8:8" x14ac:dyDescent="0.3">
      <c r="H1695" s="23"/>
    </row>
    <row r="1696" spans="8:8" x14ac:dyDescent="0.3">
      <c r="H1696" s="23"/>
    </row>
    <row r="1697" spans="8:8" x14ac:dyDescent="0.3">
      <c r="H1697" s="23"/>
    </row>
    <row r="1698" spans="8:8" x14ac:dyDescent="0.3">
      <c r="H1698" s="23"/>
    </row>
    <row r="1699" spans="8:8" x14ac:dyDescent="0.3">
      <c r="H1699" s="23"/>
    </row>
    <row r="1700" spans="8:8" x14ac:dyDescent="0.3">
      <c r="H1700" s="23"/>
    </row>
    <row r="1701" spans="8:8" x14ac:dyDescent="0.3">
      <c r="H1701" s="23"/>
    </row>
    <row r="1702" spans="8:8" x14ac:dyDescent="0.3">
      <c r="H1702" s="23"/>
    </row>
    <row r="1703" spans="8:8" x14ac:dyDescent="0.3">
      <c r="H1703" s="23"/>
    </row>
    <row r="1704" spans="8:8" x14ac:dyDescent="0.3">
      <c r="H1704" s="23"/>
    </row>
    <row r="1705" spans="8:8" x14ac:dyDescent="0.3">
      <c r="H1705" s="23"/>
    </row>
    <row r="1706" spans="8:8" x14ac:dyDescent="0.3">
      <c r="H1706" s="23"/>
    </row>
    <row r="1707" spans="8:8" x14ac:dyDescent="0.3">
      <c r="H1707" s="23"/>
    </row>
    <row r="1708" spans="8:8" x14ac:dyDescent="0.3">
      <c r="H1708" s="23"/>
    </row>
    <row r="1709" spans="8:8" x14ac:dyDescent="0.3">
      <c r="H1709" s="23"/>
    </row>
    <row r="1710" spans="8:8" x14ac:dyDescent="0.3">
      <c r="H1710" s="23"/>
    </row>
    <row r="1711" spans="8:8" x14ac:dyDescent="0.3">
      <c r="H1711" s="23"/>
    </row>
    <row r="1712" spans="8:8" x14ac:dyDescent="0.3">
      <c r="H1712" s="23"/>
    </row>
    <row r="1713" spans="8:8" x14ac:dyDescent="0.3">
      <c r="H1713" s="23"/>
    </row>
    <row r="1714" spans="8:8" x14ac:dyDescent="0.3">
      <c r="H1714" s="23"/>
    </row>
    <row r="1715" spans="8:8" x14ac:dyDescent="0.3">
      <c r="H1715" s="23"/>
    </row>
    <row r="1716" spans="8:8" x14ac:dyDescent="0.3">
      <c r="H1716" s="23"/>
    </row>
    <row r="1717" spans="8:8" x14ac:dyDescent="0.3">
      <c r="H1717" s="23"/>
    </row>
    <row r="1718" spans="8:8" x14ac:dyDescent="0.3">
      <c r="H1718" s="23"/>
    </row>
    <row r="1719" spans="8:8" x14ac:dyDescent="0.3">
      <c r="H1719" s="23"/>
    </row>
    <row r="1720" spans="8:8" x14ac:dyDescent="0.3">
      <c r="H1720" s="23"/>
    </row>
    <row r="1721" spans="8:8" x14ac:dyDescent="0.3">
      <c r="H1721" s="23"/>
    </row>
    <row r="1722" spans="8:8" x14ac:dyDescent="0.3">
      <c r="H1722" s="23"/>
    </row>
    <row r="1723" spans="8:8" x14ac:dyDescent="0.3">
      <c r="H1723" s="23"/>
    </row>
    <row r="1724" spans="8:8" x14ac:dyDescent="0.3">
      <c r="H1724" s="23"/>
    </row>
    <row r="1725" spans="8:8" x14ac:dyDescent="0.3">
      <c r="H1725" s="23"/>
    </row>
    <row r="1726" spans="8:8" x14ac:dyDescent="0.3">
      <c r="H1726" s="23"/>
    </row>
    <row r="1727" spans="8:8" x14ac:dyDescent="0.3">
      <c r="H1727" s="23"/>
    </row>
    <row r="1728" spans="8:8" x14ac:dyDescent="0.3">
      <c r="H1728" s="23"/>
    </row>
    <row r="1729" spans="8:8" x14ac:dyDescent="0.3">
      <c r="H1729" s="23"/>
    </row>
    <row r="1730" spans="8:8" x14ac:dyDescent="0.3">
      <c r="H1730" s="23"/>
    </row>
    <row r="1731" spans="8:8" x14ac:dyDescent="0.3">
      <c r="H1731" s="23"/>
    </row>
    <row r="1732" spans="8:8" x14ac:dyDescent="0.3">
      <c r="H1732" s="23"/>
    </row>
    <row r="1733" spans="8:8" x14ac:dyDescent="0.3">
      <c r="H1733" s="23"/>
    </row>
    <row r="1734" spans="8:8" x14ac:dyDescent="0.3">
      <c r="H1734" s="23"/>
    </row>
    <row r="1735" spans="8:8" x14ac:dyDescent="0.3">
      <c r="H1735" s="23"/>
    </row>
    <row r="1736" spans="8:8" x14ac:dyDescent="0.3">
      <c r="H1736" s="23"/>
    </row>
    <row r="1737" spans="8:8" x14ac:dyDescent="0.3">
      <c r="H1737" s="23"/>
    </row>
    <row r="1738" spans="8:8" x14ac:dyDescent="0.3">
      <c r="H1738" s="23"/>
    </row>
    <row r="1739" spans="8:8" x14ac:dyDescent="0.3">
      <c r="H1739" s="23"/>
    </row>
    <row r="1740" spans="8:8" x14ac:dyDescent="0.3">
      <c r="H1740" s="23"/>
    </row>
    <row r="1741" spans="8:8" x14ac:dyDescent="0.3">
      <c r="H1741" s="23"/>
    </row>
    <row r="1742" spans="8:8" x14ac:dyDescent="0.3">
      <c r="H1742" s="23"/>
    </row>
    <row r="1743" spans="8:8" x14ac:dyDescent="0.3">
      <c r="H1743" s="23"/>
    </row>
    <row r="1744" spans="8:8" x14ac:dyDescent="0.3">
      <c r="H1744" s="23"/>
    </row>
    <row r="1745" spans="8:8" x14ac:dyDescent="0.3">
      <c r="H1745" s="23"/>
    </row>
    <row r="1746" spans="8:8" x14ac:dyDescent="0.3">
      <c r="H1746" s="23"/>
    </row>
    <row r="1747" spans="8:8" x14ac:dyDescent="0.3">
      <c r="H1747" s="23"/>
    </row>
    <row r="1748" spans="8:8" x14ac:dyDescent="0.3">
      <c r="H1748" s="23"/>
    </row>
    <row r="1749" spans="8:8" x14ac:dyDescent="0.3">
      <c r="H1749" s="23"/>
    </row>
    <row r="1750" spans="8:8" x14ac:dyDescent="0.3">
      <c r="H1750" s="23"/>
    </row>
    <row r="1751" spans="8:8" x14ac:dyDescent="0.3">
      <c r="H1751" s="23"/>
    </row>
    <row r="1752" spans="8:8" x14ac:dyDescent="0.3">
      <c r="H1752" s="23"/>
    </row>
    <row r="1753" spans="8:8" x14ac:dyDescent="0.3">
      <c r="H1753" s="23"/>
    </row>
    <row r="1754" spans="8:8" x14ac:dyDescent="0.3">
      <c r="H1754" s="23"/>
    </row>
    <row r="1755" spans="8:8" x14ac:dyDescent="0.3">
      <c r="H1755" s="23"/>
    </row>
    <row r="1756" spans="8:8" x14ac:dyDescent="0.3">
      <c r="H1756" s="23"/>
    </row>
    <row r="1757" spans="8:8" x14ac:dyDescent="0.3">
      <c r="H1757" s="23"/>
    </row>
    <row r="1758" spans="8:8" x14ac:dyDescent="0.3">
      <c r="H1758" s="23"/>
    </row>
    <row r="1759" spans="8:8" x14ac:dyDescent="0.3">
      <c r="H1759" s="23"/>
    </row>
    <row r="1760" spans="8:8" x14ac:dyDescent="0.3">
      <c r="H1760" s="23"/>
    </row>
    <row r="1761" spans="8:8" x14ac:dyDescent="0.3">
      <c r="H1761" s="23"/>
    </row>
    <row r="1762" spans="8:8" x14ac:dyDescent="0.3">
      <c r="H1762" s="23"/>
    </row>
    <row r="1763" spans="8:8" x14ac:dyDescent="0.3">
      <c r="H1763" s="23"/>
    </row>
    <row r="1764" spans="8:8" x14ac:dyDescent="0.3">
      <c r="H1764" s="23"/>
    </row>
    <row r="1765" spans="8:8" x14ac:dyDescent="0.3">
      <c r="H1765" s="23"/>
    </row>
    <row r="1766" spans="8:8" x14ac:dyDescent="0.3">
      <c r="H1766" s="23"/>
    </row>
    <row r="1767" spans="8:8" x14ac:dyDescent="0.3">
      <c r="H1767" s="23"/>
    </row>
    <row r="1768" spans="8:8" x14ac:dyDescent="0.3">
      <c r="H1768" s="23"/>
    </row>
    <row r="1769" spans="8:8" x14ac:dyDescent="0.3">
      <c r="H1769" s="23"/>
    </row>
    <row r="1770" spans="8:8" x14ac:dyDescent="0.3">
      <c r="H1770" s="23"/>
    </row>
    <row r="1771" spans="8:8" x14ac:dyDescent="0.3">
      <c r="H1771" s="23"/>
    </row>
    <row r="1772" spans="8:8" x14ac:dyDescent="0.3">
      <c r="H1772" s="23"/>
    </row>
    <row r="1773" spans="8:8" x14ac:dyDescent="0.3">
      <c r="H1773" s="23"/>
    </row>
    <row r="1774" spans="8:8" x14ac:dyDescent="0.3">
      <c r="H1774" s="23"/>
    </row>
    <row r="1775" spans="8:8" x14ac:dyDescent="0.3">
      <c r="H1775" s="23"/>
    </row>
    <row r="1776" spans="8:8" x14ac:dyDescent="0.3">
      <c r="H1776" s="23"/>
    </row>
    <row r="1777" spans="8:8" x14ac:dyDescent="0.3">
      <c r="H1777" s="23"/>
    </row>
    <row r="1778" spans="8:8" x14ac:dyDescent="0.3">
      <c r="H1778" s="23"/>
    </row>
    <row r="1779" spans="8:8" x14ac:dyDescent="0.3">
      <c r="H1779" s="23"/>
    </row>
    <row r="1780" spans="8:8" x14ac:dyDescent="0.3">
      <c r="H1780" s="23"/>
    </row>
    <row r="1781" spans="8:8" x14ac:dyDescent="0.3">
      <c r="H1781" s="23"/>
    </row>
    <row r="1782" spans="8:8" x14ac:dyDescent="0.3">
      <c r="H1782" s="23"/>
    </row>
    <row r="1783" spans="8:8" x14ac:dyDescent="0.3">
      <c r="H1783" s="23"/>
    </row>
    <row r="1784" spans="8:8" x14ac:dyDescent="0.3">
      <c r="H1784" s="23"/>
    </row>
    <row r="1785" spans="8:8" x14ac:dyDescent="0.3">
      <c r="H1785" s="23"/>
    </row>
    <row r="1786" spans="8:8" x14ac:dyDescent="0.3">
      <c r="H1786" s="23"/>
    </row>
    <row r="1787" spans="8:8" x14ac:dyDescent="0.3">
      <c r="H1787" s="23"/>
    </row>
    <row r="1788" spans="8:8" x14ac:dyDescent="0.3">
      <c r="H1788" s="23"/>
    </row>
    <row r="1789" spans="8:8" x14ac:dyDescent="0.3">
      <c r="H1789" s="23"/>
    </row>
    <row r="1790" spans="8:8" x14ac:dyDescent="0.3">
      <c r="H1790" s="23"/>
    </row>
    <row r="1791" spans="8:8" x14ac:dyDescent="0.3">
      <c r="H1791" s="23"/>
    </row>
    <row r="1792" spans="8:8" x14ac:dyDescent="0.3">
      <c r="H1792" s="23"/>
    </row>
    <row r="1793" spans="8:8" x14ac:dyDescent="0.3">
      <c r="H1793" s="23"/>
    </row>
    <row r="1794" spans="8:8" x14ac:dyDescent="0.3">
      <c r="H1794" s="23"/>
    </row>
    <row r="1795" spans="8:8" x14ac:dyDescent="0.3">
      <c r="H1795" s="23"/>
    </row>
    <row r="1796" spans="8:8" x14ac:dyDescent="0.3">
      <c r="H1796" s="23"/>
    </row>
    <row r="1797" spans="8:8" x14ac:dyDescent="0.3">
      <c r="H1797" s="23"/>
    </row>
    <row r="1798" spans="8:8" x14ac:dyDescent="0.3">
      <c r="H1798" s="23"/>
    </row>
    <row r="1799" spans="8:8" x14ac:dyDescent="0.3">
      <c r="H1799" s="23"/>
    </row>
    <row r="1800" spans="8:8" x14ac:dyDescent="0.3">
      <c r="H1800" s="23"/>
    </row>
    <row r="1801" spans="8:8" x14ac:dyDescent="0.3">
      <c r="H1801" s="23"/>
    </row>
    <row r="1802" spans="8:8" x14ac:dyDescent="0.3">
      <c r="H1802" s="23"/>
    </row>
    <row r="1803" spans="8:8" x14ac:dyDescent="0.3">
      <c r="H1803" s="23"/>
    </row>
    <row r="1804" spans="8:8" x14ac:dyDescent="0.3">
      <c r="H1804" s="23"/>
    </row>
    <row r="1805" spans="8:8" x14ac:dyDescent="0.3">
      <c r="H1805" s="23"/>
    </row>
    <row r="1806" spans="8:8" x14ac:dyDescent="0.3">
      <c r="H1806" s="23"/>
    </row>
    <row r="1807" spans="8:8" x14ac:dyDescent="0.3">
      <c r="H1807" s="23"/>
    </row>
    <row r="1808" spans="8:8" x14ac:dyDescent="0.3">
      <c r="H1808" s="23"/>
    </row>
    <row r="1809" spans="8:8" x14ac:dyDescent="0.3">
      <c r="H1809" s="23"/>
    </row>
    <row r="1810" spans="8:8" x14ac:dyDescent="0.3">
      <c r="H1810" s="23"/>
    </row>
    <row r="1811" spans="8:8" x14ac:dyDescent="0.3">
      <c r="H1811" s="23"/>
    </row>
    <row r="1812" spans="8:8" x14ac:dyDescent="0.3">
      <c r="H1812" s="23"/>
    </row>
    <row r="1813" spans="8:8" x14ac:dyDescent="0.3">
      <c r="H1813" s="23"/>
    </row>
    <row r="1814" spans="8:8" x14ac:dyDescent="0.3">
      <c r="H1814" s="23"/>
    </row>
    <row r="1815" spans="8:8" x14ac:dyDescent="0.3">
      <c r="H1815" s="23"/>
    </row>
    <row r="1816" spans="8:8" x14ac:dyDescent="0.3">
      <c r="H1816" s="23"/>
    </row>
    <row r="1817" spans="8:8" x14ac:dyDescent="0.3">
      <c r="H1817" s="23"/>
    </row>
    <row r="1818" spans="8:8" x14ac:dyDescent="0.3">
      <c r="H1818" s="23"/>
    </row>
    <row r="1819" spans="8:8" x14ac:dyDescent="0.3">
      <c r="H1819" s="23"/>
    </row>
    <row r="1820" spans="8:8" x14ac:dyDescent="0.3">
      <c r="H1820" s="23"/>
    </row>
    <row r="1821" spans="8:8" x14ac:dyDescent="0.3">
      <c r="H1821" s="23"/>
    </row>
    <row r="1822" spans="8:8" x14ac:dyDescent="0.3">
      <c r="H1822" s="23"/>
    </row>
    <row r="1823" spans="8:8" x14ac:dyDescent="0.3">
      <c r="H1823" s="23"/>
    </row>
    <row r="1824" spans="8:8" x14ac:dyDescent="0.3">
      <c r="H1824" s="23"/>
    </row>
    <row r="1825" spans="8:8" x14ac:dyDescent="0.3">
      <c r="H1825" s="23"/>
    </row>
    <row r="1826" spans="8:8" x14ac:dyDescent="0.3">
      <c r="H1826" s="23"/>
    </row>
    <row r="1827" spans="8:8" x14ac:dyDescent="0.3">
      <c r="H1827" s="23"/>
    </row>
    <row r="1828" spans="8:8" x14ac:dyDescent="0.3">
      <c r="H1828" s="23"/>
    </row>
    <row r="1829" spans="8:8" x14ac:dyDescent="0.3">
      <c r="H1829" s="23"/>
    </row>
    <row r="1830" spans="8:8" x14ac:dyDescent="0.3">
      <c r="H1830" s="23"/>
    </row>
    <row r="1831" spans="8:8" x14ac:dyDescent="0.3">
      <c r="H1831" s="23"/>
    </row>
    <row r="1832" spans="8:8" x14ac:dyDescent="0.3">
      <c r="H1832" s="23"/>
    </row>
    <row r="1833" spans="8:8" x14ac:dyDescent="0.3">
      <c r="H1833" s="23"/>
    </row>
    <row r="1834" spans="8:8" x14ac:dyDescent="0.3">
      <c r="H1834" s="23"/>
    </row>
    <row r="1835" spans="8:8" x14ac:dyDescent="0.3">
      <c r="H1835" s="23"/>
    </row>
    <row r="1836" spans="8:8" x14ac:dyDescent="0.3">
      <c r="H1836" s="23"/>
    </row>
    <row r="1837" spans="8:8" x14ac:dyDescent="0.3">
      <c r="H1837" s="23"/>
    </row>
    <row r="1838" spans="8:8" x14ac:dyDescent="0.3">
      <c r="H1838" s="23"/>
    </row>
    <row r="1839" spans="8:8" x14ac:dyDescent="0.3">
      <c r="H1839" s="23"/>
    </row>
    <row r="1840" spans="8:8" x14ac:dyDescent="0.3">
      <c r="H1840" s="23"/>
    </row>
    <row r="1841" spans="8:8" x14ac:dyDescent="0.3">
      <c r="H1841" s="23"/>
    </row>
    <row r="1842" spans="8:8" x14ac:dyDescent="0.3">
      <c r="H1842" s="23"/>
    </row>
    <row r="1843" spans="8:8" x14ac:dyDescent="0.3">
      <c r="H1843" s="23"/>
    </row>
    <row r="1844" spans="8:8" x14ac:dyDescent="0.3">
      <c r="H1844" s="23"/>
    </row>
    <row r="1845" spans="8:8" x14ac:dyDescent="0.3">
      <c r="H1845" s="23"/>
    </row>
    <row r="1846" spans="8:8" x14ac:dyDescent="0.3">
      <c r="H1846" s="23"/>
    </row>
    <row r="1847" spans="8:8" x14ac:dyDescent="0.3">
      <c r="H1847" s="23"/>
    </row>
    <row r="1848" spans="8:8" x14ac:dyDescent="0.3">
      <c r="H1848" s="23"/>
    </row>
    <row r="1849" spans="8:8" x14ac:dyDescent="0.3">
      <c r="H1849" s="23"/>
    </row>
    <row r="1850" spans="8:8" x14ac:dyDescent="0.3">
      <c r="H1850" s="23"/>
    </row>
    <row r="1851" spans="8:8" x14ac:dyDescent="0.3">
      <c r="H1851" s="23"/>
    </row>
    <row r="1852" spans="8:8" x14ac:dyDescent="0.3">
      <c r="H1852" s="23"/>
    </row>
    <row r="1853" spans="8:8" x14ac:dyDescent="0.3">
      <c r="H1853" s="23"/>
    </row>
    <row r="1854" spans="8:8" x14ac:dyDescent="0.3">
      <c r="H1854" s="23"/>
    </row>
    <row r="1855" spans="8:8" x14ac:dyDescent="0.3">
      <c r="H1855" s="23"/>
    </row>
    <row r="1856" spans="8:8" x14ac:dyDescent="0.3">
      <c r="H1856" s="23"/>
    </row>
    <row r="1857" spans="8:8" x14ac:dyDescent="0.3">
      <c r="H1857" s="23"/>
    </row>
    <row r="1858" spans="8:8" x14ac:dyDescent="0.3">
      <c r="H1858" s="23"/>
    </row>
    <row r="1859" spans="8:8" x14ac:dyDescent="0.3">
      <c r="H1859" s="23"/>
    </row>
    <row r="1860" spans="8:8" x14ac:dyDescent="0.3">
      <c r="H1860" s="23"/>
    </row>
    <row r="1861" spans="8:8" x14ac:dyDescent="0.3">
      <c r="H1861" s="23"/>
    </row>
    <row r="1862" spans="8:8" x14ac:dyDescent="0.3">
      <c r="H1862" s="23"/>
    </row>
    <row r="1863" spans="8:8" x14ac:dyDescent="0.3">
      <c r="H1863" s="23"/>
    </row>
    <row r="1864" spans="8:8" x14ac:dyDescent="0.3">
      <c r="H1864" s="23"/>
    </row>
    <row r="1865" spans="8:8" x14ac:dyDescent="0.3">
      <c r="H1865" s="23"/>
    </row>
    <row r="1866" spans="8:8" x14ac:dyDescent="0.3">
      <c r="H1866" s="23"/>
    </row>
    <row r="1867" spans="8:8" x14ac:dyDescent="0.3">
      <c r="H1867" s="23"/>
    </row>
    <row r="1868" spans="8:8" x14ac:dyDescent="0.3">
      <c r="H1868" s="23"/>
    </row>
    <row r="1869" spans="8:8" x14ac:dyDescent="0.3">
      <c r="H1869" s="23"/>
    </row>
    <row r="1870" spans="8:8" x14ac:dyDescent="0.3">
      <c r="H1870" s="23"/>
    </row>
    <row r="1871" spans="8:8" x14ac:dyDescent="0.3">
      <c r="H1871" s="23"/>
    </row>
    <row r="1872" spans="8:8" x14ac:dyDescent="0.3">
      <c r="H1872" s="23"/>
    </row>
    <row r="1873" spans="8:8" x14ac:dyDescent="0.3">
      <c r="H1873" s="23"/>
    </row>
    <row r="1874" spans="8:8" x14ac:dyDescent="0.3">
      <c r="H1874" s="23"/>
    </row>
    <row r="1875" spans="8:8" x14ac:dyDescent="0.3">
      <c r="H1875" s="23"/>
    </row>
    <row r="1876" spans="8:8" x14ac:dyDescent="0.3">
      <c r="H1876" s="23"/>
    </row>
    <row r="1877" spans="8:8" x14ac:dyDescent="0.3">
      <c r="H1877" s="23"/>
    </row>
    <row r="1878" spans="8:8" x14ac:dyDescent="0.3">
      <c r="H1878" s="23"/>
    </row>
    <row r="1879" spans="8:8" x14ac:dyDescent="0.3">
      <c r="H1879" s="23"/>
    </row>
    <row r="1880" spans="8:8" x14ac:dyDescent="0.3">
      <c r="H1880" s="23"/>
    </row>
    <row r="1881" spans="8:8" x14ac:dyDescent="0.3">
      <c r="H1881" s="23"/>
    </row>
    <row r="1882" spans="8:8" x14ac:dyDescent="0.3">
      <c r="H1882" s="23"/>
    </row>
    <row r="1883" spans="8:8" x14ac:dyDescent="0.3">
      <c r="H1883" s="23"/>
    </row>
    <row r="1884" spans="8:8" x14ac:dyDescent="0.3">
      <c r="H1884" s="23"/>
    </row>
    <row r="1885" spans="8:8" x14ac:dyDescent="0.3">
      <c r="H1885" s="23"/>
    </row>
    <row r="1886" spans="8:8" x14ac:dyDescent="0.3">
      <c r="H1886" s="23"/>
    </row>
    <row r="1887" spans="8:8" x14ac:dyDescent="0.3">
      <c r="H1887" s="23"/>
    </row>
    <row r="1888" spans="8:8" x14ac:dyDescent="0.3">
      <c r="H1888" s="23"/>
    </row>
    <row r="1889" spans="8:8" x14ac:dyDescent="0.3">
      <c r="H1889" s="23"/>
    </row>
    <row r="1890" spans="8:8" x14ac:dyDescent="0.3">
      <c r="H1890" s="23"/>
    </row>
    <row r="1891" spans="8:8" x14ac:dyDescent="0.3">
      <c r="H1891" s="23"/>
    </row>
    <row r="1892" spans="8:8" x14ac:dyDescent="0.3">
      <c r="H1892" s="23"/>
    </row>
    <row r="1893" spans="8:8" x14ac:dyDescent="0.3">
      <c r="H1893" s="23"/>
    </row>
    <row r="1894" spans="8:8" x14ac:dyDescent="0.3">
      <c r="H1894" s="23"/>
    </row>
    <row r="1895" spans="8:8" x14ac:dyDescent="0.3">
      <c r="H1895" s="23"/>
    </row>
    <row r="1896" spans="8:8" x14ac:dyDescent="0.3">
      <c r="H1896" s="23"/>
    </row>
    <row r="1897" spans="8:8" x14ac:dyDescent="0.3">
      <c r="H1897" s="23"/>
    </row>
    <row r="1898" spans="8:8" x14ac:dyDescent="0.3">
      <c r="H1898" s="23"/>
    </row>
    <row r="1899" spans="8:8" x14ac:dyDescent="0.3">
      <c r="H1899" s="23"/>
    </row>
    <row r="1900" spans="8:8" x14ac:dyDescent="0.3">
      <c r="H1900" s="23"/>
    </row>
    <row r="1901" spans="8:8" x14ac:dyDescent="0.3">
      <c r="H1901" s="23"/>
    </row>
    <row r="1902" spans="8:8" x14ac:dyDescent="0.3">
      <c r="H1902" s="23"/>
    </row>
    <row r="1903" spans="8:8" x14ac:dyDescent="0.3">
      <c r="H1903" s="23"/>
    </row>
    <row r="1904" spans="8:8" x14ac:dyDescent="0.3">
      <c r="H1904" s="23"/>
    </row>
    <row r="1905" spans="8:8" x14ac:dyDescent="0.3">
      <c r="H1905" s="23"/>
    </row>
    <row r="1906" spans="8:8" x14ac:dyDescent="0.3">
      <c r="H1906" s="23"/>
    </row>
    <row r="1907" spans="8:8" x14ac:dyDescent="0.3">
      <c r="H1907" s="23"/>
    </row>
    <row r="1908" spans="8:8" x14ac:dyDescent="0.3">
      <c r="H1908" s="23"/>
    </row>
    <row r="1909" spans="8:8" x14ac:dyDescent="0.3">
      <c r="H1909" s="23"/>
    </row>
    <row r="1910" spans="8:8" x14ac:dyDescent="0.3">
      <c r="H1910" s="23"/>
    </row>
    <row r="1911" spans="8:8" x14ac:dyDescent="0.3">
      <c r="H1911" s="23"/>
    </row>
    <row r="1912" spans="8:8" x14ac:dyDescent="0.3">
      <c r="H1912" s="23"/>
    </row>
    <row r="1913" spans="8:8" x14ac:dyDescent="0.3">
      <c r="H1913" s="23"/>
    </row>
    <row r="1914" spans="8:8" x14ac:dyDescent="0.3">
      <c r="H1914" s="23"/>
    </row>
    <row r="1915" spans="8:8" x14ac:dyDescent="0.3">
      <c r="H1915" s="23"/>
    </row>
    <row r="1916" spans="8:8" x14ac:dyDescent="0.3">
      <c r="H1916" s="23"/>
    </row>
    <row r="1917" spans="8:8" x14ac:dyDescent="0.3">
      <c r="H1917" s="23"/>
    </row>
    <row r="1918" spans="8:8" x14ac:dyDescent="0.3">
      <c r="H1918" s="23"/>
    </row>
    <row r="1919" spans="8:8" x14ac:dyDescent="0.3">
      <c r="H1919" s="23"/>
    </row>
    <row r="1920" spans="8:8" x14ac:dyDescent="0.3">
      <c r="H1920" s="23"/>
    </row>
    <row r="1921" spans="8:8" x14ac:dyDescent="0.3">
      <c r="H1921" s="23"/>
    </row>
    <row r="1922" spans="8:8" x14ac:dyDescent="0.3">
      <c r="H1922" s="23"/>
    </row>
    <row r="1923" spans="8:8" x14ac:dyDescent="0.3">
      <c r="H1923" s="23"/>
    </row>
    <row r="1924" spans="8:8" x14ac:dyDescent="0.3">
      <c r="H1924" s="23"/>
    </row>
    <row r="1925" spans="8:8" x14ac:dyDescent="0.3">
      <c r="H1925" s="23"/>
    </row>
    <row r="1926" spans="8:8" x14ac:dyDescent="0.3">
      <c r="H1926" s="23"/>
    </row>
    <row r="1927" spans="8:8" x14ac:dyDescent="0.3">
      <c r="H1927" s="23"/>
    </row>
    <row r="1928" spans="8:8" x14ac:dyDescent="0.3">
      <c r="H1928" s="23"/>
    </row>
    <row r="1929" spans="8:8" x14ac:dyDescent="0.3">
      <c r="H1929" s="23"/>
    </row>
    <row r="1930" spans="8:8" x14ac:dyDescent="0.3">
      <c r="H1930" s="23"/>
    </row>
    <row r="1931" spans="8:8" x14ac:dyDescent="0.3">
      <c r="H1931" s="23"/>
    </row>
    <row r="1932" spans="8:8" x14ac:dyDescent="0.3">
      <c r="H1932" s="23"/>
    </row>
    <row r="1933" spans="8:8" x14ac:dyDescent="0.3">
      <c r="H1933" s="23"/>
    </row>
    <row r="1934" spans="8:8" x14ac:dyDescent="0.3">
      <c r="H1934" s="23"/>
    </row>
    <row r="1935" spans="8:8" x14ac:dyDescent="0.3">
      <c r="H1935" s="23"/>
    </row>
    <row r="1936" spans="8:8" x14ac:dyDescent="0.3">
      <c r="H1936" s="23"/>
    </row>
    <row r="1937" spans="8:8" x14ac:dyDescent="0.3">
      <c r="H1937" s="23"/>
    </row>
    <row r="1938" spans="8:8" x14ac:dyDescent="0.3">
      <c r="H1938" s="23"/>
    </row>
    <row r="1939" spans="8:8" x14ac:dyDescent="0.3">
      <c r="H1939" s="23"/>
    </row>
    <row r="1940" spans="8:8" x14ac:dyDescent="0.3">
      <c r="H1940" s="23"/>
    </row>
    <row r="1941" spans="8:8" x14ac:dyDescent="0.3">
      <c r="H1941" s="23"/>
    </row>
    <row r="1942" spans="8:8" x14ac:dyDescent="0.3">
      <c r="H1942" s="23"/>
    </row>
    <row r="1943" spans="8:8" x14ac:dyDescent="0.3">
      <c r="H1943" s="23"/>
    </row>
    <row r="1944" spans="8:8" x14ac:dyDescent="0.3">
      <c r="H1944" s="23"/>
    </row>
    <row r="1945" spans="8:8" x14ac:dyDescent="0.3">
      <c r="H1945" s="23"/>
    </row>
    <row r="1946" spans="8:8" x14ac:dyDescent="0.3">
      <c r="H1946" s="23"/>
    </row>
    <row r="1947" spans="8:8" x14ac:dyDescent="0.3">
      <c r="H1947" s="23"/>
    </row>
    <row r="1948" spans="8:8" x14ac:dyDescent="0.3">
      <c r="H1948" s="23"/>
    </row>
    <row r="1949" spans="8:8" x14ac:dyDescent="0.3">
      <c r="H1949" s="23"/>
    </row>
    <row r="1950" spans="8:8" x14ac:dyDescent="0.3">
      <c r="H1950" s="23"/>
    </row>
    <row r="1951" spans="8:8" x14ac:dyDescent="0.3">
      <c r="H1951" s="23"/>
    </row>
    <row r="1952" spans="8:8" x14ac:dyDescent="0.3">
      <c r="H1952" s="23"/>
    </row>
    <row r="1953" spans="8:8" x14ac:dyDescent="0.3">
      <c r="H1953" s="23"/>
    </row>
    <row r="1954" spans="8:8" x14ac:dyDescent="0.3">
      <c r="H1954" s="23"/>
    </row>
    <row r="1955" spans="8:8" x14ac:dyDescent="0.3">
      <c r="H1955" s="23"/>
    </row>
    <row r="1956" spans="8:8" x14ac:dyDescent="0.3">
      <c r="H1956" s="23"/>
    </row>
    <row r="1957" spans="8:8" x14ac:dyDescent="0.3">
      <c r="H1957" s="23"/>
    </row>
    <row r="1958" spans="8:8" x14ac:dyDescent="0.3">
      <c r="H1958" s="23"/>
    </row>
    <row r="1959" spans="8:8" x14ac:dyDescent="0.3">
      <c r="H1959" s="23"/>
    </row>
    <row r="1960" spans="8:8" x14ac:dyDescent="0.3">
      <c r="H1960" s="23"/>
    </row>
    <row r="1961" spans="8:8" x14ac:dyDescent="0.3">
      <c r="H1961" s="23"/>
    </row>
    <row r="1962" spans="8:8" x14ac:dyDescent="0.3">
      <c r="H1962" s="23"/>
    </row>
    <row r="1963" spans="8:8" x14ac:dyDescent="0.3">
      <c r="H1963" s="23"/>
    </row>
    <row r="1964" spans="8:8" x14ac:dyDescent="0.3">
      <c r="H1964" s="23"/>
    </row>
    <row r="1965" spans="8:8" x14ac:dyDescent="0.3">
      <c r="H1965" s="23"/>
    </row>
    <row r="1966" spans="8:8" x14ac:dyDescent="0.3">
      <c r="H1966" s="23"/>
    </row>
    <row r="1967" spans="8:8" x14ac:dyDescent="0.3">
      <c r="H1967" s="23"/>
    </row>
    <row r="1968" spans="8:8" x14ac:dyDescent="0.3">
      <c r="H1968" s="23"/>
    </row>
    <row r="1969" spans="8:8" x14ac:dyDescent="0.3">
      <c r="H1969" s="23"/>
    </row>
    <row r="1970" spans="8:8" x14ac:dyDescent="0.3">
      <c r="H1970" s="23"/>
    </row>
    <row r="1971" spans="8:8" x14ac:dyDescent="0.3">
      <c r="H1971" s="23"/>
    </row>
    <row r="1972" spans="8:8" x14ac:dyDescent="0.3">
      <c r="H1972" s="23"/>
    </row>
    <row r="1973" spans="8:8" x14ac:dyDescent="0.3">
      <c r="H1973" s="23"/>
    </row>
    <row r="1974" spans="8:8" x14ac:dyDescent="0.3">
      <c r="H1974" s="23"/>
    </row>
    <row r="1975" spans="8:8" x14ac:dyDescent="0.3">
      <c r="H1975" s="23"/>
    </row>
    <row r="1976" spans="8:8" x14ac:dyDescent="0.3">
      <c r="H1976" s="23"/>
    </row>
    <row r="1977" spans="8:8" x14ac:dyDescent="0.3">
      <c r="H1977" s="23"/>
    </row>
    <row r="1978" spans="8:8" x14ac:dyDescent="0.3">
      <c r="H1978" s="23"/>
    </row>
    <row r="1979" spans="8:8" x14ac:dyDescent="0.3">
      <c r="H1979" s="23"/>
    </row>
    <row r="1980" spans="8:8" x14ac:dyDescent="0.3">
      <c r="H1980" s="23"/>
    </row>
    <row r="1981" spans="8:8" x14ac:dyDescent="0.3">
      <c r="H1981" s="23"/>
    </row>
    <row r="1982" spans="8:8" x14ac:dyDescent="0.3">
      <c r="H1982" s="23"/>
    </row>
    <row r="1983" spans="8:8" x14ac:dyDescent="0.3">
      <c r="H1983" s="23"/>
    </row>
    <row r="1984" spans="8:8" x14ac:dyDescent="0.3">
      <c r="H1984" s="23"/>
    </row>
    <row r="1985" spans="8:8" x14ac:dyDescent="0.3">
      <c r="H1985" s="23"/>
    </row>
    <row r="1986" spans="8:8" x14ac:dyDescent="0.3">
      <c r="H1986" s="23"/>
    </row>
    <row r="1987" spans="8:8" x14ac:dyDescent="0.3">
      <c r="H1987" s="23"/>
    </row>
    <row r="1988" spans="8:8" x14ac:dyDescent="0.3">
      <c r="H1988" s="23"/>
    </row>
    <row r="1989" spans="8:8" x14ac:dyDescent="0.3">
      <c r="H1989" s="23"/>
    </row>
    <row r="1990" spans="8:8" x14ac:dyDescent="0.3">
      <c r="H1990" s="23"/>
    </row>
    <row r="1991" spans="8:8" x14ac:dyDescent="0.3">
      <c r="H1991" s="23"/>
    </row>
    <row r="1992" spans="8:8" x14ac:dyDescent="0.3">
      <c r="H1992" s="23"/>
    </row>
    <row r="1993" spans="8:8" x14ac:dyDescent="0.3">
      <c r="H1993" s="23"/>
    </row>
    <row r="1994" spans="8:8" x14ac:dyDescent="0.3">
      <c r="H1994" s="23"/>
    </row>
    <row r="1995" spans="8:8" x14ac:dyDescent="0.3">
      <c r="H1995" s="23"/>
    </row>
    <row r="1996" spans="8:8" x14ac:dyDescent="0.3">
      <c r="H1996" s="23"/>
    </row>
    <row r="1997" spans="8:8" x14ac:dyDescent="0.3">
      <c r="H1997" s="23"/>
    </row>
    <row r="1998" spans="8:8" x14ac:dyDescent="0.3">
      <c r="H1998" s="23"/>
    </row>
    <row r="1999" spans="8:8" x14ac:dyDescent="0.3">
      <c r="H1999" s="23"/>
    </row>
    <row r="2000" spans="8:8" x14ac:dyDescent="0.3">
      <c r="H2000" s="23"/>
    </row>
    <row r="2001" spans="8:8" x14ac:dyDescent="0.3">
      <c r="H2001" s="23"/>
    </row>
    <row r="2002" spans="8:8" x14ac:dyDescent="0.3">
      <c r="H2002" s="23"/>
    </row>
    <row r="2003" spans="8:8" x14ac:dyDescent="0.3">
      <c r="H2003" s="23"/>
    </row>
    <row r="2004" spans="8:8" x14ac:dyDescent="0.3">
      <c r="H2004" s="23"/>
    </row>
    <row r="2005" spans="8:8" x14ac:dyDescent="0.3">
      <c r="H2005" s="23"/>
    </row>
    <row r="2006" spans="8:8" x14ac:dyDescent="0.3">
      <c r="H2006" s="23"/>
    </row>
    <row r="2007" spans="8:8" x14ac:dyDescent="0.3">
      <c r="H2007" s="23"/>
    </row>
    <row r="2008" spans="8:8" x14ac:dyDescent="0.3">
      <c r="H2008" s="23"/>
    </row>
    <row r="2009" spans="8:8" x14ac:dyDescent="0.3">
      <c r="H2009" s="23"/>
    </row>
    <row r="2010" spans="8:8" x14ac:dyDescent="0.3">
      <c r="H2010" s="23"/>
    </row>
    <row r="2011" spans="8:8" x14ac:dyDescent="0.3">
      <c r="H2011" s="23"/>
    </row>
    <row r="2012" spans="8:8" x14ac:dyDescent="0.3">
      <c r="H2012" s="23"/>
    </row>
    <row r="2013" spans="8:8" x14ac:dyDescent="0.3">
      <c r="H2013" s="23"/>
    </row>
    <row r="2014" spans="8:8" x14ac:dyDescent="0.3">
      <c r="H2014" s="23"/>
    </row>
    <row r="2015" spans="8:8" x14ac:dyDescent="0.3">
      <c r="H2015" s="23"/>
    </row>
    <row r="2016" spans="8:8" x14ac:dyDescent="0.3">
      <c r="H2016" s="23"/>
    </row>
    <row r="2017" spans="8:8" x14ac:dyDescent="0.3">
      <c r="H2017" s="23"/>
    </row>
    <row r="2018" spans="8:8" x14ac:dyDescent="0.3">
      <c r="H2018" s="23"/>
    </row>
    <row r="2019" spans="8:8" x14ac:dyDescent="0.3">
      <c r="H2019" s="23"/>
    </row>
    <row r="2020" spans="8:8" x14ac:dyDescent="0.3">
      <c r="H2020" s="23"/>
    </row>
    <row r="2021" spans="8:8" x14ac:dyDescent="0.3">
      <c r="H2021" s="23"/>
    </row>
    <row r="2022" spans="8:8" x14ac:dyDescent="0.3">
      <c r="H2022" s="23"/>
    </row>
    <row r="2023" spans="8:8" x14ac:dyDescent="0.3">
      <c r="H2023" s="23"/>
    </row>
    <row r="2024" spans="8:8" x14ac:dyDescent="0.3">
      <c r="H2024" s="23"/>
    </row>
    <row r="2025" spans="8:8" x14ac:dyDescent="0.3">
      <c r="H2025" s="23"/>
    </row>
    <row r="2026" spans="8:8" x14ac:dyDescent="0.3">
      <c r="H2026" s="23"/>
    </row>
    <row r="2027" spans="8:8" x14ac:dyDescent="0.3">
      <c r="H2027" s="23"/>
    </row>
    <row r="2028" spans="8:8" x14ac:dyDescent="0.3">
      <c r="H2028" s="23"/>
    </row>
    <row r="2029" spans="8:8" x14ac:dyDescent="0.3">
      <c r="H2029" s="23"/>
    </row>
    <row r="2030" spans="8:8" x14ac:dyDescent="0.3">
      <c r="H2030" s="23"/>
    </row>
    <row r="2031" spans="8:8" x14ac:dyDescent="0.3">
      <c r="H2031" s="23"/>
    </row>
    <row r="2032" spans="8:8" x14ac:dyDescent="0.3">
      <c r="H2032" s="23"/>
    </row>
    <row r="2033" spans="8:8" x14ac:dyDescent="0.3">
      <c r="H2033" s="23"/>
    </row>
    <row r="2034" spans="8:8" x14ac:dyDescent="0.3">
      <c r="H2034" s="23"/>
    </row>
    <row r="2035" spans="8:8" x14ac:dyDescent="0.3">
      <c r="H2035" s="23"/>
    </row>
    <row r="2036" spans="8:8" x14ac:dyDescent="0.3">
      <c r="H2036" s="23"/>
    </row>
    <row r="2037" spans="8:8" x14ac:dyDescent="0.3">
      <c r="H2037" s="23"/>
    </row>
    <row r="2038" spans="8:8" x14ac:dyDescent="0.3">
      <c r="H2038" s="23"/>
    </row>
    <row r="2039" spans="8:8" x14ac:dyDescent="0.3">
      <c r="H2039" s="23"/>
    </row>
    <row r="2040" spans="8:8" x14ac:dyDescent="0.3">
      <c r="H2040" s="23"/>
    </row>
    <row r="2041" spans="8:8" x14ac:dyDescent="0.3">
      <c r="H2041" s="23"/>
    </row>
    <row r="2042" spans="8:8" x14ac:dyDescent="0.3">
      <c r="H2042" s="23"/>
    </row>
    <row r="2043" spans="8:8" x14ac:dyDescent="0.3">
      <c r="H2043" s="23"/>
    </row>
    <row r="2044" spans="8:8" x14ac:dyDescent="0.3">
      <c r="H2044" s="23"/>
    </row>
    <row r="2045" spans="8:8" x14ac:dyDescent="0.3">
      <c r="H2045" s="23"/>
    </row>
    <row r="2046" spans="8:8" x14ac:dyDescent="0.3">
      <c r="H2046" s="23"/>
    </row>
    <row r="2047" spans="8:8" x14ac:dyDescent="0.3">
      <c r="H2047" s="23"/>
    </row>
    <row r="2048" spans="8:8" x14ac:dyDescent="0.3">
      <c r="H2048" s="23"/>
    </row>
    <row r="2049" spans="8:8" x14ac:dyDescent="0.3">
      <c r="H2049" s="23"/>
    </row>
    <row r="2050" spans="8:8" x14ac:dyDescent="0.3">
      <c r="H2050" s="23"/>
    </row>
    <row r="2051" spans="8:8" x14ac:dyDescent="0.3">
      <c r="H2051" s="23"/>
    </row>
    <row r="2052" spans="8:8" x14ac:dyDescent="0.3">
      <c r="H2052" s="23"/>
    </row>
    <row r="2053" spans="8:8" x14ac:dyDescent="0.3">
      <c r="H2053" s="23"/>
    </row>
    <row r="2054" spans="8:8" x14ac:dyDescent="0.3">
      <c r="H2054" s="23"/>
    </row>
    <row r="2055" spans="8:8" x14ac:dyDescent="0.3">
      <c r="H2055" s="23"/>
    </row>
    <row r="2056" spans="8:8" x14ac:dyDescent="0.3">
      <c r="H2056" s="23"/>
    </row>
    <row r="2057" spans="8:8" x14ac:dyDescent="0.3">
      <c r="H2057" s="23"/>
    </row>
    <row r="2058" spans="8:8" x14ac:dyDescent="0.3">
      <c r="H2058" s="23"/>
    </row>
    <row r="2059" spans="8:8" x14ac:dyDescent="0.3">
      <c r="H2059" s="23"/>
    </row>
    <row r="2060" spans="8:8" x14ac:dyDescent="0.3">
      <c r="H2060" s="23"/>
    </row>
    <row r="2061" spans="8:8" x14ac:dyDescent="0.3">
      <c r="H2061" s="23"/>
    </row>
    <row r="2062" spans="8:8" x14ac:dyDescent="0.3">
      <c r="H2062" s="23"/>
    </row>
    <row r="2063" spans="8:8" x14ac:dyDescent="0.3">
      <c r="H2063" s="23"/>
    </row>
    <row r="2064" spans="8:8" x14ac:dyDescent="0.3">
      <c r="H2064" s="23"/>
    </row>
    <row r="2065" spans="8:8" x14ac:dyDescent="0.3">
      <c r="H2065" s="23"/>
    </row>
    <row r="2066" spans="8:8" x14ac:dyDescent="0.3">
      <c r="H2066" s="23"/>
    </row>
    <row r="2067" spans="8:8" x14ac:dyDescent="0.3">
      <c r="H2067" s="23"/>
    </row>
    <row r="2068" spans="8:8" x14ac:dyDescent="0.3">
      <c r="H2068" s="23"/>
    </row>
    <row r="2069" spans="8:8" x14ac:dyDescent="0.3">
      <c r="H2069" s="23"/>
    </row>
    <row r="2070" spans="8:8" x14ac:dyDescent="0.3">
      <c r="H2070" s="23"/>
    </row>
    <row r="2071" spans="8:8" x14ac:dyDescent="0.3">
      <c r="H2071" s="23"/>
    </row>
    <row r="2072" spans="8:8" x14ac:dyDescent="0.3">
      <c r="H2072" s="23"/>
    </row>
    <row r="2073" spans="8:8" x14ac:dyDescent="0.3">
      <c r="H2073" s="23"/>
    </row>
    <row r="2074" spans="8:8" x14ac:dyDescent="0.3">
      <c r="H2074" s="23"/>
    </row>
    <row r="2075" spans="8:8" x14ac:dyDescent="0.3">
      <c r="H2075" s="23"/>
    </row>
    <row r="2076" spans="8:8" x14ac:dyDescent="0.3">
      <c r="H2076" s="23"/>
    </row>
    <row r="2077" spans="8:8" x14ac:dyDescent="0.3">
      <c r="H2077" s="23"/>
    </row>
    <row r="2078" spans="8:8" x14ac:dyDescent="0.3">
      <c r="H2078" s="23"/>
    </row>
    <row r="2079" spans="8:8" x14ac:dyDescent="0.3">
      <c r="H2079" s="23"/>
    </row>
    <row r="2080" spans="8:8" x14ac:dyDescent="0.3">
      <c r="H2080" s="23"/>
    </row>
    <row r="2081" spans="8:8" x14ac:dyDescent="0.3">
      <c r="H2081" s="23"/>
    </row>
    <row r="2082" spans="8:8" x14ac:dyDescent="0.3">
      <c r="H2082" s="23"/>
    </row>
    <row r="2083" spans="8:8" x14ac:dyDescent="0.3">
      <c r="H2083" s="23"/>
    </row>
    <row r="2084" spans="8:8" x14ac:dyDescent="0.3">
      <c r="H2084" s="23"/>
    </row>
    <row r="2085" spans="8:8" x14ac:dyDescent="0.3">
      <c r="H2085" s="23"/>
    </row>
    <row r="2086" spans="8:8" x14ac:dyDescent="0.3">
      <c r="H2086" s="23"/>
    </row>
    <row r="2087" spans="8:8" x14ac:dyDescent="0.3">
      <c r="H2087" s="23"/>
    </row>
    <row r="2088" spans="8:8" x14ac:dyDescent="0.3">
      <c r="H2088" s="23"/>
    </row>
    <row r="2089" spans="8:8" x14ac:dyDescent="0.3">
      <c r="H2089" s="23"/>
    </row>
    <row r="2090" spans="8:8" x14ac:dyDescent="0.3">
      <c r="H2090" s="23"/>
    </row>
    <row r="2091" spans="8:8" x14ac:dyDescent="0.3">
      <c r="H2091" s="23"/>
    </row>
    <row r="2092" spans="8:8" x14ac:dyDescent="0.3">
      <c r="H2092" s="23"/>
    </row>
    <row r="2093" spans="8:8" x14ac:dyDescent="0.3">
      <c r="H2093" s="23"/>
    </row>
    <row r="2094" spans="8:8" x14ac:dyDescent="0.3">
      <c r="H2094" s="23"/>
    </row>
    <row r="2095" spans="8:8" x14ac:dyDescent="0.3">
      <c r="H2095" s="23"/>
    </row>
    <row r="2096" spans="8:8" x14ac:dyDescent="0.3">
      <c r="H2096" s="23"/>
    </row>
    <row r="2097" spans="8:8" x14ac:dyDescent="0.3">
      <c r="H2097" s="23"/>
    </row>
    <row r="2098" spans="8:8" x14ac:dyDescent="0.3">
      <c r="H2098" s="23"/>
    </row>
    <row r="2099" spans="8:8" x14ac:dyDescent="0.3">
      <c r="H2099" s="23"/>
    </row>
    <row r="2100" spans="8:8" x14ac:dyDescent="0.3">
      <c r="H2100" s="23"/>
    </row>
    <row r="2101" spans="8:8" x14ac:dyDescent="0.3">
      <c r="H2101" s="23"/>
    </row>
    <row r="2102" spans="8:8" x14ac:dyDescent="0.3">
      <c r="H2102" s="23"/>
    </row>
    <row r="2103" spans="8:8" x14ac:dyDescent="0.3">
      <c r="H2103" s="23"/>
    </row>
    <row r="2104" spans="8:8" x14ac:dyDescent="0.3">
      <c r="H2104" s="23"/>
    </row>
    <row r="2105" spans="8:8" x14ac:dyDescent="0.3">
      <c r="H2105" s="23"/>
    </row>
    <row r="2106" spans="8:8" x14ac:dyDescent="0.3">
      <c r="H2106" s="23"/>
    </row>
    <row r="2107" spans="8:8" x14ac:dyDescent="0.3">
      <c r="H2107" s="23"/>
    </row>
    <row r="2108" spans="8:8" x14ac:dyDescent="0.3">
      <c r="H2108" s="23"/>
    </row>
    <row r="2109" spans="8:8" x14ac:dyDescent="0.3">
      <c r="H2109" s="23"/>
    </row>
    <row r="2110" spans="8:8" x14ac:dyDescent="0.3">
      <c r="H2110" s="23"/>
    </row>
    <row r="2111" spans="8:8" x14ac:dyDescent="0.3">
      <c r="H2111" s="23"/>
    </row>
    <row r="2112" spans="8:8" x14ac:dyDescent="0.3">
      <c r="H2112" s="23"/>
    </row>
    <row r="2113" spans="8:8" x14ac:dyDescent="0.3">
      <c r="H2113" s="23"/>
    </row>
    <row r="2114" spans="8:8" x14ac:dyDescent="0.3">
      <c r="H2114" s="23"/>
    </row>
    <row r="2115" spans="8:8" x14ac:dyDescent="0.3">
      <c r="H2115" s="23"/>
    </row>
    <row r="2116" spans="8:8" x14ac:dyDescent="0.3">
      <c r="H2116" s="23"/>
    </row>
    <row r="2117" spans="8:8" x14ac:dyDescent="0.3">
      <c r="H2117" s="23"/>
    </row>
    <row r="2118" spans="8:8" x14ac:dyDescent="0.3">
      <c r="H2118" s="23"/>
    </row>
    <row r="2119" spans="8:8" x14ac:dyDescent="0.3">
      <c r="H2119" s="23"/>
    </row>
    <row r="2120" spans="8:8" x14ac:dyDescent="0.3">
      <c r="H2120" s="23"/>
    </row>
    <row r="2121" spans="8:8" x14ac:dyDescent="0.3">
      <c r="H2121" s="23"/>
    </row>
    <row r="2122" spans="8:8" x14ac:dyDescent="0.3">
      <c r="H2122" s="23"/>
    </row>
    <row r="2123" spans="8:8" x14ac:dyDescent="0.3">
      <c r="H2123" s="23"/>
    </row>
    <row r="2124" spans="8:8" x14ac:dyDescent="0.3">
      <c r="H2124" s="23"/>
    </row>
    <row r="2125" spans="8:8" x14ac:dyDescent="0.3">
      <c r="H2125" s="23"/>
    </row>
    <row r="2126" spans="8:8" x14ac:dyDescent="0.3">
      <c r="H2126" s="23"/>
    </row>
    <row r="2127" spans="8:8" x14ac:dyDescent="0.3">
      <c r="H2127" s="23"/>
    </row>
    <row r="2128" spans="8:8" x14ac:dyDescent="0.3">
      <c r="H2128" s="23"/>
    </row>
    <row r="2129" spans="8:8" x14ac:dyDescent="0.3">
      <c r="H2129" s="23"/>
    </row>
    <row r="2130" spans="8:8" x14ac:dyDescent="0.3">
      <c r="H2130" s="23"/>
    </row>
    <row r="2131" spans="8:8" x14ac:dyDescent="0.3">
      <c r="H2131" s="23"/>
    </row>
    <row r="2132" spans="8:8" x14ac:dyDescent="0.3">
      <c r="H2132" s="23"/>
    </row>
    <row r="2133" spans="8:8" x14ac:dyDescent="0.3">
      <c r="H2133" s="23"/>
    </row>
    <row r="2134" spans="8:8" x14ac:dyDescent="0.3">
      <c r="H2134" s="23"/>
    </row>
    <row r="2135" spans="8:8" x14ac:dyDescent="0.3">
      <c r="H2135" s="23"/>
    </row>
    <row r="2136" spans="8:8" x14ac:dyDescent="0.3">
      <c r="H2136" s="23"/>
    </row>
    <row r="2137" spans="8:8" x14ac:dyDescent="0.3">
      <c r="H2137" s="23"/>
    </row>
    <row r="2138" spans="8:8" x14ac:dyDescent="0.3">
      <c r="H2138" s="23"/>
    </row>
    <row r="2139" spans="8:8" x14ac:dyDescent="0.3">
      <c r="H2139" s="23"/>
    </row>
    <row r="2140" spans="8:8" x14ac:dyDescent="0.3">
      <c r="H2140" s="23"/>
    </row>
    <row r="2141" spans="8:8" x14ac:dyDescent="0.3">
      <c r="H2141" s="23"/>
    </row>
    <row r="2142" spans="8:8" x14ac:dyDescent="0.3">
      <c r="H2142" s="23"/>
    </row>
    <row r="2143" spans="8:8" x14ac:dyDescent="0.3">
      <c r="H2143" s="23"/>
    </row>
    <row r="2144" spans="8:8" x14ac:dyDescent="0.3">
      <c r="H2144" s="23"/>
    </row>
    <row r="2145" spans="8:8" x14ac:dyDescent="0.3">
      <c r="H2145" s="23"/>
    </row>
    <row r="2146" spans="8:8" x14ac:dyDescent="0.3">
      <c r="H2146" s="23"/>
    </row>
    <row r="2147" spans="8:8" x14ac:dyDescent="0.3">
      <c r="H2147" s="23"/>
    </row>
    <row r="2148" spans="8:8" x14ac:dyDescent="0.3">
      <c r="H2148" s="23"/>
    </row>
    <row r="2149" spans="8:8" x14ac:dyDescent="0.3">
      <c r="H2149" s="23"/>
    </row>
    <row r="2150" spans="8:8" x14ac:dyDescent="0.3">
      <c r="H2150" s="23"/>
    </row>
    <row r="2151" spans="8:8" x14ac:dyDescent="0.3">
      <c r="H2151" s="23"/>
    </row>
    <row r="2152" spans="8:8" x14ac:dyDescent="0.3">
      <c r="H2152" s="23"/>
    </row>
    <row r="2153" spans="8:8" x14ac:dyDescent="0.3">
      <c r="H2153" s="23"/>
    </row>
    <row r="2154" spans="8:8" x14ac:dyDescent="0.3">
      <c r="H2154" s="23"/>
    </row>
    <row r="2155" spans="8:8" x14ac:dyDescent="0.3">
      <c r="H2155" s="23"/>
    </row>
    <row r="2156" spans="8:8" x14ac:dyDescent="0.3">
      <c r="H2156" s="23"/>
    </row>
    <row r="2157" spans="8:8" x14ac:dyDescent="0.3">
      <c r="H2157" s="23"/>
    </row>
    <row r="2158" spans="8:8" x14ac:dyDescent="0.3">
      <c r="H2158" s="23"/>
    </row>
    <row r="2159" spans="8:8" x14ac:dyDescent="0.3">
      <c r="H2159" s="23"/>
    </row>
    <row r="2160" spans="8:8" x14ac:dyDescent="0.3">
      <c r="H2160" s="23"/>
    </row>
    <row r="2161" spans="8:8" x14ac:dyDescent="0.3">
      <c r="H2161" s="23"/>
    </row>
    <row r="2162" spans="8:8" x14ac:dyDescent="0.3">
      <c r="H2162" s="23"/>
    </row>
    <row r="2163" spans="8:8" x14ac:dyDescent="0.3">
      <c r="H2163" s="23"/>
    </row>
    <row r="2164" spans="8:8" x14ac:dyDescent="0.3">
      <c r="H2164" s="23"/>
    </row>
    <row r="2165" spans="8:8" x14ac:dyDescent="0.3">
      <c r="H2165" s="23"/>
    </row>
    <row r="2166" spans="8:8" x14ac:dyDescent="0.3">
      <c r="H2166" s="23"/>
    </row>
    <row r="2167" spans="8:8" x14ac:dyDescent="0.3">
      <c r="H2167" s="23"/>
    </row>
    <row r="2168" spans="8:8" x14ac:dyDescent="0.3">
      <c r="H2168" s="23"/>
    </row>
    <row r="2169" spans="8:8" x14ac:dyDescent="0.3">
      <c r="H2169" s="23"/>
    </row>
    <row r="2170" spans="8:8" x14ac:dyDescent="0.3">
      <c r="H2170" s="23"/>
    </row>
    <row r="2171" spans="8:8" x14ac:dyDescent="0.3">
      <c r="H2171" s="23"/>
    </row>
    <row r="2172" spans="8:8" x14ac:dyDescent="0.3">
      <c r="H2172" s="23"/>
    </row>
    <row r="2173" spans="8:8" x14ac:dyDescent="0.3">
      <c r="H2173" s="23"/>
    </row>
    <row r="2174" spans="8:8" x14ac:dyDescent="0.3">
      <c r="H2174" s="23"/>
    </row>
    <row r="2175" spans="8:8" x14ac:dyDescent="0.3">
      <c r="H2175" s="23"/>
    </row>
    <row r="2176" spans="8:8" x14ac:dyDescent="0.3">
      <c r="H2176" s="23"/>
    </row>
    <row r="2177" spans="8:8" x14ac:dyDescent="0.3">
      <c r="H2177" s="23"/>
    </row>
    <row r="2178" spans="8:8" x14ac:dyDescent="0.3">
      <c r="H2178" s="23"/>
    </row>
    <row r="2179" spans="8:8" x14ac:dyDescent="0.3">
      <c r="H2179" s="23"/>
    </row>
    <row r="2180" spans="8:8" x14ac:dyDescent="0.3">
      <c r="H2180" s="23"/>
    </row>
    <row r="2181" spans="8:8" x14ac:dyDescent="0.3">
      <c r="H2181" s="23"/>
    </row>
    <row r="2182" spans="8:8" x14ac:dyDescent="0.3">
      <c r="H2182" s="23"/>
    </row>
    <row r="2183" spans="8:8" x14ac:dyDescent="0.3">
      <c r="H2183" s="23"/>
    </row>
    <row r="2184" spans="8:8" x14ac:dyDescent="0.3">
      <c r="H2184" s="23"/>
    </row>
    <row r="2185" spans="8:8" x14ac:dyDescent="0.3">
      <c r="H2185" s="23"/>
    </row>
    <row r="2186" spans="8:8" x14ac:dyDescent="0.3">
      <c r="H2186" s="23"/>
    </row>
    <row r="2187" spans="8:8" x14ac:dyDescent="0.3">
      <c r="H2187" s="23"/>
    </row>
    <row r="2188" spans="8:8" x14ac:dyDescent="0.3">
      <c r="H2188" s="23"/>
    </row>
    <row r="2189" spans="8:8" x14ac:dyDescent="0.3">
      <c r="H2189" s="23"/>
    </row>
    <row r="2190" spans="8:8" x14ac:dyDescent="0.3">
      <c r="H2190" s="23"/>
    </row>
    <row r="2191" spans="8:8" x14ac:dyDescent="0.3">
      <c r="H2191" s="23"/>
    </row>
    <row r="2192" spans="8:8" x14ac:dyDescent="0.3">
      <c r="H2192" s="23"/>
    </row>
    <row r="2193" spans="8:8" x14ac:dyDescent="0.3">
      <c r="H2193" s="23"/>
    </row>
    <row r="2194" spans="8:8" x14ac:dyDescent="0.3">
      <c r="H2194" s="23"/>
    </row>
    <row r="2195" spans="8:8" x14ac:dyDescent="0.3">
      <c r="H2195" s="23"/>
    </row>
    <row r="2196" spans="8:8" x14ac:dyDescent="0.3">
      <c r="H2196" s="23"/>
    </row>
    <row r="2197" spans="8:8" x14ac:dyDescent="0.3">
      <c r="H2197" s="23"/>
    </row>
    <row r="2198" spans="8:8" x14ac:dyDescent="0.3">
      <c r="H2198" s="23"/>
    </row>
    <row r="2199" spans="8:8" x14ac:dyDescent="0.3">
      <c r="H2199" s="23"/>
    </row>
    <row r="2200" spans="8:8" x14ac:dyDescent="0.3">
      <c r="H2200" s="23"/>
    </row>
    <row r="2201" spans="8:8" x14ac:dyDescent="0.3">
      <c r="H2201" s="23"/>
    </row>
    <row r="2202" spans="8:8" x14ac:dyDescent="0.3">
      <c r="H2202" s="23"/>
    </row>
    <row r="2203" spans="8:8" x14ac:dyDescent="0.3">
      <c r="H2203" s="23"/>
    </row>
    <row r="2204" spans="8:8" x14ac:dyDescent="0.3">
      <c r="H2204" s="23"/>
    </row>
    <row r="2205" spans="8:8" x14ac:dyDescent="0.3">
      <c r="H2205" s="23"/>
    </row>
    <row r="2206" spans="8:8" x14ac:dyDescent="0.3">
      <c r="H2206" s="23"/>
    </row>
    <row r="2207" spans="8:8" x14ac:dyDescent="0.3">
      <c r="H2207" s="23"/>
    </row>
    <row r="2208" spans="8:8" x14ac:dyDescent="0.3">
      <c r="H2208" s="23"/>
    </row>
    <row r="2209" spans="8:8" x14ac:dyDescent="0.3">
      <c r="H2209" s="23"/>
    </row>
    <row r="2210" spans="8:8" x14ac:dyDescent="0.3">
      <c r="H2210" s="23"/>
    </row>
    <row r="2211" spans="8:8" x14ac:dyDescent="0.3">
      <c r="H2211" s="23"/>
    </row>
    <row r="2212" spans="8:8" x14ac:dyDescent="0.3">
      <c r="H2212" s="23"/>
    </row>
    <row r="2213" spans="8:8" x14ac:dyDescent="0.3">
      <c r="H2213" s="23"/>
    </row>
    <row r="2214" spans="8:8" x14ac:dyDescent="0.3">
      <c r="H2214" s="23"/>
    </row>
    <row r="2215" spans="8:8" x14ac:dyDescent="0.3">
      <c r="H2215" s="23"/>
    </row>
    <row r="2216" spans="8:8" x14ac:dyDescent="0.3">
      <c r="H2216" s="23"/>
    </row>
    <row r="2217" spans="8:8" x14ac:dyDescent="0.3">
      <c r="H2217" s="23"/>
    </row>
    <row r="2218" spans="8:8" x14ac:dyDescent="0.3">
      <c r="H2218" s="23"/>
    </row>
    <row r="2219" spans="8:8" x14ac:dyDescent="0.3">
      <c r="H2219" s="23"/>
    </row>
    <row r="2220" spans="8:8" x14ac:dyDescent="0.3">
      <c r="H2220" s="23"/>
    </row>
    <row r="2221" spans="8:8" x14ac:dyDescent="0.3">
      <c r="H2221" s="23"/>
    </row>
    <row r="2222" spans="8:8" x14ac:dyDescent="0.3">
      <c r="H2222" s="23"/>
    </row>
    <row r="2223" spans="8:8" x14ac:dyDescent="0.3">
      <c r="H2223" s="23"/>
    </row>
    <row r="2224" spans="8:8" x14ac:dyDescent="0.3">
      <c r="H2224" s="23"/>
    </row>
    <row r="2225" spans="8:8" x14ac:dyDescent="0.3">
      <c r="H2225" s="23"/>
    </row>
    <row r="2226" spans="8:8" x14ac:dyDescent="0.3">
      <c r="H2226" s="23"/>
    </row>
    <row r="2227" spans="8:8" x14ac:dyDescent="0.3">
      <c r="H2227" s="23"/>
    </row>
    <row r="2228" spans="8:8" x14ac:dyDescent="0.3">
      <c r="H2228" s="23"/>
    </row>
    <row r="2229" spans="8:8" x14ac:dyDescent="0.3">
      <c r="H2229" s="23"/>
    </row>
    <row r="2230" spans="8:8" x14ac:dyDescent="0.3">
      <c r="H2230" s="23"/>
    </row>
    <row r="2231" spans="8:8" x14ac:dyDescent="0.3">
      <c r="H2231" s="23"/>
    </row>
    <row r="2232" spans="8:8" x14ac:dyDescent="0.3">
      <c r="H2232" s="23"/>
    </row>
    <row r="2233" spans="8:8" x14ac:dyDescent="0.3">
      <c r="H2233" s="23"/>
    </row>
    <row r="2234" spans="8:8" x14ac:dyDescent="0.3">
      <c r="H2234" s="23"/>
    </row>
    <row r="2235" spans="8:8" x14ac:dyDescent="0.3">
      <c r="H2235" s="23"/>
    </row>
    <row r="2236" spans="8:8" x14ac:dyDescent="0.3">
      <c r="H2236" s="23"/>
    </row>
    <row r="2237" spans="8:8" x14ac:dyDescent="0.3">
      <c r="H2237" s="23"/>
    </row>
    <row r="2238" spans="8:8" x14ac:dyDescent="0.3">
      <c r="H2238" s="23"/>
    </row>
    <row r="2239" spans="8:8" x14ac:dyDescent="0.3">
      <c r="H2239" s="23"/>
    </row>
    <row r="2240" spans="8:8" x14ac:dyDescent="0.3">
      <c r="H2240" s="23"/>
    </row>
    <row r="2241" spans="8:8" x14ac:dyDescent="0.3">
      <c r="H2241" s="23"/>
    </row>
    <row r="2242" spans="8:8" x14ac:dyDescent="0.3">
      <c r="H2242" s="23"/>
    </row>
    <row r="2243" spans="8:8" x14ac:dyDescent="0.3">
      <c r="H2243" s="23"/>
    </row>
    <row r="2244" spans="8:8" x14ac:dyDescent="0.3">
      <c r="H2244" s="23"/>
    </row>
    <row r="2245" spans="8:8" x14ac:dyDescent="0.3">
      <c r="H2245" s="23"/>
    </row>
    <row r="2246" spans="8:8" x14ac:dyDescent="0.3">
      <c r="H2246" s="23"/>
    </row>
    <row r="2247" spans="8:8" x14ac:dyDescent="0.3">
      <c r="H2247" s="23"/>
    </row>
    <row r="2248" spans="8:8" x14ac:dyDescent="0.3">
      <c r="H2248" s="23"/>
    </row>
    <row r="2249" spans="8:8" x14ac:dyDescent="0.3">
      <c r="H2249" s="23"/>
    </row>
    <row r="2250" spans="8:8" x14ac:dyDescent="0.3">
      <c r="H2250" s="23"/>
    </row>
    <row r="2251" spans="8:8" x14ac:dyDescent="0.3">
      <c r="H2251" s="23"/>
    </row>
    <row r="2252" spans="8:8" x14ac:dyDescent="0.3">
      <c r="H2252" s="23"/>
    </row>
    <row r="2253" spans="8:8" x14ac:dyDescent="0.3">
      <c r="H2253" s="23"/>
    </row>
    <row r="2254" spans="8:8" x14ac:dyDescent="0.3">
      <c r="H2254" s="23"/>
    </row>
    <row r="2255" spans="8:8" x14ac:dyDescent="0.3">
      <c r="H2255" s="23"/>
    </row>
    <row r="2256" spans="8:8" x14ac:dyDescent="0.3">
      <c r="H2256" s="23"/>
    </row>
    <row r="2257" spans="8:8" x14ac:dyDescent="0.3">
      <c r="H2257" s="23"/>
    </row>
    <row r="2258" spans="8:8" x14ac:dyDescent="0.3">
      <c r="H2258" s="23"/>
    </row>
    <row r="2259" spans="8:8" x14ac:dyDescent="0.3">
      <c r="H2259" s="23"/>
    </row>
    <row r="2260" spans="8:8" x14ac:dyDescent="0.3">
      <c r="H2260" s="23"/>
    </row>
    <row r="2261" spans="8:8" x14ac:dyDescent="0.3">
      <c r="H2261" s="23"/>
    </row>
    <row r="2262" spans="8:8" x14ac:dyDescent="0.3">
      <c r="H2262" s="23"/>
    </row>
    <row r="2263" spans="8:8" x14ac:dyDescent="0.3">
      <c r="H2263" s="23"/>
    </row>
    <row r="2264" spans="8:8" x14ac:dyDescent="0.3">
      <c r="H2264" s="23"/>
    </row>
    <row r="2265" spans="8:8" x14ac:dyDescent="0.3">
      <c r="H2265" s="23"/>
    </row>
    <row r="2266" spans="8:8" x14ac:dyDescent="0.3">
      <c r="H2266" s="23"/>
    </row>
    <row r="2267" spans="8:8" x14ac:dyDescent="0.3">
      <c r="H2267" s="23"/>
    </row>
    <row r="2268" spans="8:8" x14ac:dyDescent="0.3">
      <c r="H2268" s="23"/>
    </row>
    <row r="2269" spans="8:8" x14ac:dyDescent="0.3">
      <c r="H2269" s="23"/>
    </row>
    <row r="2270" spans="8:8" x14ac:dyDescent="0.3">
      <c r="H2270" s="23"/>
    </row>
    <row r="2271" spans="8:8" x14ac:dyDescent="0.3">
      <c r="H2271" s="23"/>
    </row>
    <row r="2272" spans="8:8" x14ac:dyDescent="0.3">
      <c r="H2272" s="23"/>
    </row>
    <row r="2273" spans="8:8" x14ac:dyDescent="0.3">
      <c r="H2273" s="23"/>
    </row>
    <row r="2274" spans="8:8" x14ac:dyDescent="0.3">
      <c r="H2274" s="23"/>
    </row>
    <row r="2275" spans="8:8" x14ac:dyDescent="0.3">
      <c r="H2275" s="23"/>
    </row>
    <row r="2276" spans="8:8" x14ac:dyDescent="0.3">
      <c r="H2276" s="23"/>
    </row>
    <row r="2277" spans="8:8" x14ac:dyDescent="0.3">
      <c r="H2277" s="23"/>
    </row>
    <row r="2278" spans="8:8" x14ac:dyDescent="0.3">
      <c r="H2278" s="23"/>
    </row>
    <row r="2279" spans="8:8" x14ac:dyDescent="0.3">
      <c r="H2279" s="23"/>
    </row>
    <row r="2280" spans="8:8" x14ac:dyDescent="0.3">
      <c r="H2280" s="23"/>
    </row>
    <row r="2281" spans="8:8" x14ac:dyDescent="0.3">
      <c r="H2281" s="23"/>
    </row>
    <row r="2282" spans="8:8" x14ac:dyDescent="0.3">
      <c r="H2282" s="23"/>
    </row>
    <row r="2283" spans="8:8" x14ac:dyDescent="0.3">
      <c r="H2283" s="23"/>
    </row>
    <row r="2284" spans="8:8" x14ac:dyDescent="0.3">
      <c r="H2284" s="23"/>
    </row>
    <row r="2285" spans="8:8" x14ac:dyDescent="0.3">
      <c r="H2285" s="23"/>
    </row>
    <row r="2286" spans="8:8" x14ac:dyDescent="0.3">
      <c r="H2286" s="23"/>
    </row>
    <row r="2287" spans="8:8" x14ac:dyDescent="0.3">
      <c r="H2287" s="23"/>
    </row>
    <row r="2288" spans="8:8" x14ac:dyDescent="0.3">
      <c r="H2288" s="23"/>
    </row>
    <row r="2289" spans="8:8" x14ac:dyDescent="0.3">
      <c r="H2289" s="23"/>
    </row>
    <row r="2290" spans="8:8" x14ac:dyDescent="0.3">
      <c r="H2290" s="23"/>
    </row>
    <row r="2291" spans="8:8" x14ac:dyDescent="0.3">
      <c r="H2291" s="23"/>
    </row>
    <row r="2292" spans="8:8" x14ac:dyDescent="0.3">
      <c r="H2292" s="23"/>
    </row>
    <row r="2293" spans="8:8" x14ac:dyDescent="0.3">
      <c r="H2293" s="23"/>
    </row>
    <row r="2294" spans="8:8" x14ac:dyDescent="0.3">
      <c r="H2294" s="23"/>
    </row>
    <row r="2295" spans="8:8" x14ac:dyDescent="0.3">
      <c r="H2295" s="23"/>
    </row>
    <row r="2296" spans="8:8" x14ac:dyDescent="0.3">
      <c r="H2296" s="23"/>
    </row>
    <row r="2297" spans="8:8" x14ac:dyDescent="0.3">
      <c r="H2297" s="23"/>
    </row>
    <row r="2298" spans="8:8" x14ac:dyDescent="0.3">
      <c r="H2298" s="23"/>
    </row>
    <row r="2299" spans="8:8" x14ac:dyDescent="0.3">
      <c r="H2299" s="23"/>
    </row>
    <row r="2300" spans="8:8" x14ac:dyDescent="0.3">
      <c r="H2300" s="23"/>
    </row>
    <row r="2301" spans="8:8" x14ac:dyDescent="0.3">
      <c r="H2301" s="23"/>
    </row>
    <row r="2302" spans="8:8" x14ac:dyDescent="0.3">
      <c r="H2302" s="23"/>
    </row>
    <row r="2303" spans="8:8" x14ac:dyDescent="0.3">
      <c r="H2303" s="23"/>
    </row>
    <row r="2304" spans="8:8" x14ac:dyDescent="0.3">
      <c r="H2304" s="23"/>
    </row>
    <row r="2305" spans="8:8" x14ac:dyDescent="0.3">
      <c r="H2305" s="23"/>
    </row>
    <row r="2306" spans="8:8" x14ac:dyDescent="0.3">
      <c r="H2306" s="23"/>
    </row>
    <row r="2307" spans="8:8" x14ac:dyDescent="0.3">
      <c r="H2307" s="23"/>
    </row>
    <row r="2308" spans="8:8" x14ac:dyDescent="0.3">
      <c r="H2308" s="23"/>
    </row>
    <row r="2309" spans="8:8" x14ac:dyDescent="0.3">
      <c r="H2309" s="23"/>
    </row>
    <row r="2310" spans="8:8" x14ac:dyDescent="0.3">
      <c r="H2310" s="23"/>
    </row>
    <row r="2311" spans="8:8" x14ac:dyDescent="0.3">
      <c r="H2311" s="23"/>
    </row>
    <row r="2312" spans="8:8" x14ac:dyDescent="0.3">
      <c r="H2312" s="23"/>
    </row>
    <row r="2313" spans="8:8" x14ac:dyDescent="0.3">
      <c r="H2313" s="23"/>
    </row>
    <row r="2314" spans="8:8" x14ac:dyDescent="0.3">
      <c r="H2314" s="23"/>
    </row>
    <row r="2315" spans="8:8" x14ac:dyDescent="0.3">
      <c r="H2315" s="23"/>
    </row>
    <row r="2316" spans="8:8" x14ac:dyDescent="0.3">
      <c r="H2316" s="23"/>
    </row>
    <row r="2317" spans="8:8" x14ac:dyDescent="0.3">
      <c r="H2317" s="23"/>
    </row>
    <row r="2318" spans="8:8" x14ac:dyDescent="0.3">
      <c r="H2318" s="23"/>
    </row>
    <row r="2319" spans="8:8" x14ac:dyDescent="0.3">
      <c r="H2319" s="23"/>
    </row>
    <row r="2320" spans="8:8" x14ac:dyDescent="0.3">
      <c r="H2320" s="23"/>
    </row>
    <row r="2321" spans="8:8" x14ac:dyDescent="0.3">
      <c r="H2321" s="23"/>
    </row>
    <row r="2322" spans="8:8" x14ac:dyDescent="0.3">
      <c r="H2322" s="23"/>
    </row>
    <row r="2323" spans="8:8" x14ac:dyDescent="0.3">
      <c r="H2323" s="23"/>
    </row>
    <row r="2324" spans="8:8" x14ac:dyDescent="0.3">
      <c r="H2324" s="23"/>
    </row>
    <row r="2325" spans="8:8" x14ac:dyDescent="0.3">
      <c r="H2325" s="23"/>
    </row>
    <row r="2326" spans="8:8" x14ac:dyDescent="0.3">
      <c r="H2326" s="23"/>
    </row>
    <row r="2327" spans="8:8" x14ac:dyDescent="0.3">
      <c r="H2327" s="23"/>
    </row>
    <row r="2328" spans="8:8" x14ac:dyDescent="0.3">
      <c r="H2328" s="23"/>
    </row>
    <row r="2329" spans="8:8" x14ac:dyDescent="0.3">
      <c r="H2329" s="23"/>
    </row>
    <row r="2330" spans="8:8" x14ac:dyDescent="0.3">
      <c r="H2330" s="23"/>
    </row>
    <row r="2331" spans="8:8" x14ac:dyDescent="0.3">
      <c r="H2331" s="23"/>
    </row>
    <row r="2332" spans="8:8" x14ac:dyDescent="0.3">
      <c r="H2332" s="23"/>
    </row>
    <row r="2333" spans="8:8" x14ac:dyDescent="0.3">
      <c r="H2333" s="23"/>
    </row>
    <row r="2334" spans="8:8" x14ac:dyDescent="0.3">
      <c r="H2334" s="23"/>
    </row>
    <row r="2335" spans="8:8" x14ac:dyDescent="0.3">
      <c r="H2335" s="23"/>
    </row>
    <row r="2336" spans="8:8" x14ac:dyDescent="0.3">
      <c r="H2336" s="23"/>
    </row>
    <row r="2337" spans="8:8" x14ac:dyDescent="0.3">
      <c r="H2337" s="23"/>
    </row>
    <row r="2338" spans="8:8" x14ac:dyDescent="0.3">
      <c r="H2338" s="23"/>
    </row>
    <row r="2339" spans="8:8" x14ac:dyDescent="0.3">
      <c r="H2339" s="23"/>
    </row>
    <row r="2340" spans="8:8" x14ac:dyDescent="0.3">
      <c r="H2340" s="23"/>
    </row>
    <row r="2341" spans="8:8" x14ac:dyDescent="0.3">
      <c r="H2341" s="23"/>
    </row>
    <row r="2342" spans="8:8" x14ac:dyDescent="0.3">
      <c r="H2342" s="23"/>
    </row>
    <row r="2343" spans="8:8" x14ac:dyDescent="0.3">
      <c r="H2343" s="23"/>
    </row>
    <row r="2344" spans="8:8" x14ac:dyDescent="0.3">
      <c r="H2344" s="23"/>
    </row>
    <row r="2345" spans="8:8" x14ac:dyDescent="0.3">
      <c r="H2345" s="23"/>
    </row>
    <row r="2346" spans="8:8" x14ac:dyDescent="0.3">
      <c r="H2346" s="23"/>
    </row>
    <row r="2347" spans="8:8" x14ac:dyDescent="0.3">
      <c r="H2347" s="23"/>
    </row>
    <row r="2348" spans="8:8" x14ac:dyDescent="0.3">
      <c r="H2348" s="23"/>
    </row>
    <row r="2349" spans="8:8" x14ac:dyDescent="0.3">
      <c r="H2349" s="23"/>
    </row>
    <row r="2350" spans="8:8" x14ac:dyDescent="0.3">
      <c r="H2350" s="23"/>
    </row>
    <row r="2351" spans="8:8" x14ac:dyDescent="0.3">
      <c r="H2351" s="23"/>
    </row>
    <row r="2352" spans="8:8" x14ac:dyDescent="0.3">
      <c r="H2352" s="23"/>
    </row>
    <row r="2353" spans="8:8" x14ac:dyDescent="0.3">
      <c r="H2353" s="23"/>
    </row>
    <row r="2354" spans="8:8" x14ac:dyDescent="0.3">
      <c r="H2354" s="23"/>
    </row>
    <row r="2355" spans="8:8" x14ac:dyDescent="0.3">
      <c r="H2355" s="23"/>
    </row>
    <row r="2356" spans="8:8" x14ac:dyDescent="0.3">
      <c r="H2356" s="23"/>
    </row>
    <row r="2357" spans="8:8" x14ac:dyDescent="0.3">
      <c r="H2357" s="23"/>
    </row>
    <row r="2358" spans="8:8" x14ac:dyDescent="0.3">
      <c r="H2358" s="23"/>
    </row>
    <row r="2359" spans="8:8" x14ac:dyDescent="0.3">
      <c r="H2359" s="23"/>
    </row>
    <row r="2360" spans="8:8" x14ac:dyDescent="0.3">
      <c r="H2360" s="23"/>
    </row>
    <row r="2361" spans="8:8" x14ac:dyDescent="0.3">
      <c r="H2361" s="23"/>
    </row>
    <row r="2362" spans="8:8" x14ac:dyDescent="0.3">
      <c r="H2362" s="23"/>
    </row>
    <row r="2363" spans="8:8" x14ac:dyDescent="0.3">
      <c r="H2363" s="23"/>
    </row>
    <row r="2364" spans="8:8" x14ac:dyDescent="0.3">
      <c r="H2364" s="23"/>
    </row>
    <row r="2365" spans="8:8" x14ac:dyDescent="0.3">
      <c r="H2365" s="23"/>
    </row>
    <row r="2366" spans="8:8" x14ac:dyDescent="0.3">
      <c r="H2366" s="23"/>
    </row>
    <row r="2367" spans="8:8" x14ac:dyDescent="0.3">
      <c r="H2367" s="23"/>
    </row>
    <row r="2368" spans="8:8" x14ac:dyDescent="0.3">
      <c r="H2368" s="23"/>
    </row>
    <row r="2369" spans="8:8" x14ac:dyDescent="0.3">
      <c r="H2369" s="23"/>
    </row>
    <row r="2370" spans="8:8" x14ac:dyDescent="0.3">
      <c r="H2370" s="23"/>
    </row>
    <row r="2371" spans="8:8" x14ac:dyDescent="0.3">
      <c r="H2371" s="23"/>
    </row>
    <row r="2372" spans="8:8" x14ac:dyDescent="0.3">
      <c r="H2372" s="23"/>
    </row>
    <row r="2373" spans="8:8" x14ac:dyDescent="0.3">
      <c r="H2373" s="23"/>
    </row>
    <row r="2374" spans="8:8" x14ac:dyDescent="0.3">
      <c r="H2374" s="23"/>
    </row>
    <row r="2375" spans="8:8" x14ac:dyDescent="0.3">
      <c r="H2375" s="23"/>
    </row>
    <row r="2376" spans="8:8" x14ac:dyDescent="0.3">
      <c r="H2376" s="23"/>
    </row>
    <row r="2377" spans="8:8" x14ac:dyDescent="0.3">
      <c r="H2377" s="23"/>
    </row>
    <row r="2378" spans="8:8" x14ac:dyDescent="0.3">
      <c r="H2378" s="23"/>
    </row>
    <row r="2379" spans="8:8" x14ac:dyDescent="0.3">
      <c r="H2379" s="23"/>
    </row>
    <row r="2380" spans="8:8" x14ac:dyDescent="0.3">
      <c r="H2380" s="23"/>
    </row>
    <row r="2381" spans="8:8" x14ac:dyDescent="0.3">
      <c r="H2381" s="23"/>
    </row>
    <row r="2382" spans="8:8" x14ac:dyDescent="0.3">
      <c r="H2382" s="23"/>
    </row>
    <row r="2383" spans="8:8" x14ac:dyDescent="0.3">
      <c r="H2383" s="23"/>
    </row>
    <row r="2384" spans="8:8" x14ac:dyDescent="0.3">
      <c r="H2384" s="23"/>
    </row>
    <row r="2385" spans="8:8" x14ac:dyDescent="0.3">
      <c r="H2385" s="23"/>
    </row>
    <row r="2386" spans="8:8" x14ac:dyDescent="0.3">
      <c r="H2386" s="23"/>
    </row>
    <row r="2387" spans="8:8" x14ac:dyDescent="0.3">
      <c r="H2387" s="23"/>
    </row>
    <row r="2388" spans="8:8" x14ac:dyDescent="0.3">
      <c r="H2388" s="23"/>
    </row>
    <row r="2389" spans="8:8" x14ac:dyDescent="0.3">
      <c r="H2389" s="23"/>
    </row>
    <row r="2390" spans="8:8" x14ac:dyDescent="0.3">
      <c r="H2390" s="23"/>
    </row>
    <row r="2391" spans="8:8" x14ac:dyDescent="0.3">
      <c r="H2391" s="23"/>
    </row>
    <row r="2392" spans="8:8" x14ac:dyDescent="0.3">
      <c r="H2392" s="23"/>
    </row>
    <row r="2393" spans="8:8" x14ac:dyDescent="0.3">
      <c r="H2393" s="23"/>
    </row>
    <row r="2394" spans="8:8" x14ac:dyDescent="0.3">
      <c r="H2394" s="23"/>
    </row>
    <row r="2395" spans="8:8" x14ac:dyDescent="0.3">
      <c r="H2395" s="23"/>
    </row>
    <row r="2396" spans="8:8" x14ac:dyDescent="0.3">
      <c r="H2396" s="23"/>
    </row>
    <row r="2397" spans="8:8" x14ac:dyDescent="0.3">
      <c r="H2397" s="23"/>
    </row>
    <row r="2398" spans="8:8" x14ac:dyDescent="0.3">
      <c r="H2398" s="23"/>
    </row>
    <row r="2399" spans="8:8" x14ac:dyDescent="0.3">
      <c r="H2399" s="23"/>
    </row>
    <row r="2400" spans="8:8" x14ac:dyDescent="0.3">
      <c r="H2400" s="23"/>
    </row>
    <row r="2401" spans="8:8" x14ac:dyDescent="0.3">
      <c r="H2401" s="23"/>
    </row>
    <row r="2402" spans="8:8" x14ac:dyDescent="0.3">
      <c r="H2402" s="23"/>
    </row>
    <row r="2403" spans="8:8" x14ac:dyDescent="0.3">
      <c r="H2403" s="23"/>
    </row>
    <row r="2404" spans="8:8" x14ac:dyDescent="0.3">
      <c r="H2404" s="23"/>
    </row>
    <row r="2405" spans="8:8" x14ac:dyDescent="0.3">
      <c r="H2405" s="23"/>
    </row>
    <row r="2406" spans="8:8" x14ac:dyDescent="0.3">
      <c r="H2406" s="23"/>
    </row>
    <row r="2407" spans="8:8" x14ac:dyDescent="0.3">
      <c r="H2407" s="23"/>
    </row>
    <row r="2408" spans="8:8" x14ac:dyDescent="0.3">
      <c r="H2408" s="23"/>
    </row>
    <row r="2409" spans="8:8" x14ac:dyDescent="0.3">
      <c r="H2409" s="23"/>
    </row>
    <row r="2410" spans="8:8" x14ac:dyDescent="0.3">
      <c r="H2410" s="23"/>
    </row>
    <row r="2411" spans="8:8" x14ac:dyDescent="0.3">
      <c r="H2411" s="23"/>
    </row>
    <row r="2412" spans="8:8" x14ac:dyDescent="0.3">
      <c r="H2412" s="23"/>
    </row>
    <row r="2413" spans="8:8" x14ac:dyDescent="0.3">
      <c r="H2413" s="23"/>
    </row>
    <row r="2414" spans="8:8" x14ac:dyDescent="0.3">
      <c r="H2414" s="23"/>
    </row>
    <row r="2415" spans="8:8" x14ac:dyDescent="0.3">
      <c r="H2415" s="23"/>
    </row>
    <row r="2416" spans="8:8" x14ac:dyDescent="0.3">
      <c r="H2416" s="23"/>
    </row>
    <row r="2417" spans="8:8" x14ac:dyDescent="0.3">
      <c r="H2417" s="23"/>
    </row>
    <row r="2418" spans="8:8" x14ac:dyDescent="0.3">
      <c r="H2418" s="23"/>
    </row>
    <row r="2419" spans="8:8" x14ac:dyDescent="0.3">
      <c r="H2419" s="23"/>
    </row>
    <row r="2420" spans="8:8" x14ac:dyDescent="0.3">
      <c r="H2420" s="23"/>
    </row>
    <row r="2421" spans="8:8" x14ac:dyDescent="0.3">
      <c r="H2421" s="23"/>
    </row>
    <row r="2422" spans="8:8" x14ac:dyDescent="0.3">
      <c r="H2422" s="23"/>
    </row>
    <row r="2423" spans="8:8" x14ac:dyDescent="0.3">
      <c r="H2423" s="23"/>
    </row>
    <row r="2424" spans="8:8" x14ac:dyDescent="0.3">
      <c r="H2424" s="23"/>
    </row>
    <row r="2425" spans="8:8" x14ac:dyDescent="0.3">
      <c r="H2425" s="23"/>
    </row>
    <row r="2426" spans="8:8" x14ac:dyDescent="0.3">
      <c r="H2426" s="23"/>
    </row>
    <row r="2427" spans="8:8" x14ac:dyDescent="0.3">
      <c r="H2427" s="23"/>
    </row>
    <row r="2428" spans="8:8" x14ac:dyDescent="0.3">
      <c r="H2428" s="23"/>
    </row>
    <row r="2429" spans="8:8" x14ac:dyDescent="0.3">
      <c r="H2429" s="23"/>
    </row>
    <row r="2430" spans="8:8" x14ac:dyDescent="0.3">
      <c r="H2430" s="23"/>
    </row>
    <row r="2431" spans="8:8" x14ac:dyDescent="0.3">
      <c r="H2431" s="23"/>
    </row>
    <row r="2432" spans="8:8" x14ac:dyDescent="0.3">
      <c r="H2432" s="23"/>
    </row>
    <row r="2433" spans="8:8" x14ac:dyDescent="0.3">
      <c r="H2433" s="23"/>
    </row>
    <row r="2434" spans="8:8" x14ac:dyDescent="0.3">
      <c r="H2434" s="23"/>
    </row>
    <row r="2435" spans="8:8" x14ac:dyDescent="0.3">
      <c r="H2435" s="23"/>
    </row>
    <row r="2436" spans="8:8" x14ac:dyDescent="0.3">
      <c r="H2436" s="23"/>
    </row>
    <row r="2437" spans="8:8" x14ac:dyDescent="0.3">
      <c r="H2437" s="23"/>
    </row>
    <row r="2438" spans="8:8" x14ac:dyDescent="0.3">
      <c r="H2438" s="23"/>
    </row>
    <row r="2439" spans="8:8" x14ac:dyDescent="0.3">
      <c r="H2439" s="23"/>
    </row>
    <row r="2440" spans="8:8" x14ac:dyDescent="0.3">
      <c r="H2440" s="23"/>
    </row>
    <row r="2441" spans="8:8" x14ac:dyDescent="0.3">
      <c r="H2441" s="23"/>
    </row>
    <row r="2442" spans="8:8" x14ac:dyDescent="0.3">
      <c r="H2442" s="23"/>
    </row>
    <row r="2443" spans="8:8" x14ac:dyDescent="0.3">
      <c r="H2443" s="23"/>
    </row>
    <row r="2444" spans="8:8" x14ac:dyDescent="0.3">
      <c r="H2444" s="23"/>
    </row>
    <row r="2445" spans="8:8" x14ac:dyDescent="0.3">
      <c r="H2445" s="23"/>
    </row>
    <row r="2446" spans="8:8" x14ac:dyDescent="0.3">
      <c r="H2446" s="23"/>
    </row>
    <row r="2447" spans="8:8" x14ac:dyDescent="0.3">
      <c r="H2447" s="23"/>
    </row>
    <row r="2448" spans="8:8" x14ac:dyDescent="0.3">
      <c r="H2448" s="23"/>
    </row>
    <row r="2449" spans="8:8" x14ac:dyDescent="0.3">
      <c r="H2449" s="23"/>
    </row>
    <row r="2450" spans="8:8" x14ac:dyDescent="0.3">
      <c r="H2450" s="23"/>
    </row>
    <row r="2451" spans="8:8" x14ac:dyDescent="0.3">
      <c r="H2451" s="23"/>
    </row>
    <row r="2452" spans="8:8" x14ac:dyDescent="0.3">
      <c r="H2452" s="23"/>
    </row>
    <row r="2453" spans="8:8" x14ac:dyDescent="0.3">
      <c r="H2453" s="23"/>
    </row>
    <row r="2454" spans="8:8" x14ac:dyDescent="0.3">
      <c r="H2454" s="23"/>
    </row>
    <row r="2455" spans="8:8" x14ac:dyDescent="0.3">
      <c r="H2455" s="23"/>
    </row>
    <row r="2456" spans="8:8" x14ac:dyDescent="0.3">
      <c r="H2456" s="23"/>
    </row>
    <row r="2457" spans="8:8" x14ac:dyDescent="0.3">
      <c r="H2457" s="23"/>
    </row>
    <row r="2458" spans="8:8" x14ac:dyDescent="0.3">
      <c r="H2458" s="23"/>
    </row>
    <row r="2459" spans="8:8" x14ac:dyDescent="0.3">
      <c r="H2459" s="23"/>
    </row>
    <row r="2460" spans="8:8" x14ac:dyDescent="0.3">
      <c r="H2460" s="23"/>
    </row>
    <row r="2461" spans="8:8" x14ac:dyDescent="0.3">
      <c r="H2461" s="23"/>
    </row>
    <row r="2462" spans="8:8" x14ac:dyDescent="0.3">
      <c r="H2462" s="23"/>
    </row>
    <row r="2463" spans="8:8" x14ac:dyDescent="0.3">
      <c r="H2463" s="23"/>
    </row>
    <row r="2464" spans="8:8" x14ac:dyDescent="0.3">
      <c r="H2464" s="23"/>
    </row>
    <row r="2465" spans="8:8" x14ac:dyDescent="0.3">
      <c r="H2465" s="23"/>
    </row>
    <row r="2466" spans="8:8" x14ac:dyDescent="0.3">
      <c r="H2466" s="23"/>
    </row>
    <row r="2467" spans="8:8" x14ac:dyDescent="0.3">
      <c r="H2467" s="23"/>
    </row>
    <row r="2468" spans="8:8" x14ac:dyDescent="0.3">
      <c r="H2468" s="23"/>
    </row>
    <row r="2469" spans="8:8" x14ac:dyDescent="0.3">
      <c r="H2469" s="23"/>
    </row>
    <row r="2470" spans="8:8" x14ac:dyDescent="0.3">
      <c r="H2470" s="23"/>
    </row>
    <row r="2471" spans="8:8" x14ac:dyDescent="0.3">
      <c r="H2471" s="23"/>
    </row>
    <row r="2472" spans="8:8" x14ac:dyDescent="0.3">
      <c r="H2472" s="23"/>
    </row>
    <row r="2473" spans="8:8" x14ac:dyDescent="0.3">
      <c r="H2473" s="23"/>
    </row>
    <row r="2474" spans="8:8" x14ac:dyDescent="0.3">
      <c r="H2474" s="23"/>
    </row>
    <row r="2475" spans="8:8" x14ac:dyDescent="0.3">
      <c r="H2475" s="23"/>
    </row>
    <row r="2476" spans="8:8" x14ac:dyDescent="0.3">
      <c r="H2476" s="23"/>
    </row>
    <row r="2477" spans="8:8" x14ac:dyDescent="0.3">
      <c r="H2477" s="23"/>
    </row>
    <row r="2478" spans="8:8" x14ac:dyDescent="0.3">
      <c r="H2478" s="23"/>
    </row>
    <row r="2479" spans="8:8" x14ac:dyDescent="0.3">
      <c r="H2479" s="23"/>
    </row>
    <row r="2480" spans="8:8" x14ac:dyDescent="0.3">
      <c r="H2480" s="23"/>
    </row>
    <row r="2481" spans="8:8" x14ac:dyDescent="0.3">
      <c r="H2481" s="23"/>
    </row>
    <row r="2482" spans="8:8" x14ac:dyDescent="0.3">
      <c r="H2482" s="23"/>
    </row>
    <row r="2483" spans="8:8" x14ac:dyDescent="0.3">
      <c r="H2483" s="23"/>
    </row>
    <row r="2484" spans="8:8" x14ac:dyDescent="0.3">
      <c r="H2484" s="23"/>
    </row>
    <row r="2485" spans="8:8" x14ac:dyDescent="0.3">
      <c r="H2485" s="23"/>
    </row>
    <row r="2486" spans="8:8" x14ac:dyDescent="0.3">
      <c r="H2486" s="23"/>
    </row>
    <row r="2487" spans="8:8" x14ac:dyDescent="0.3">
      <c r="H2487" s="23"/>
    </row>
    <row r="2488" spans="8:8" x14ac:dyDescent="0.3">
      <c r="H2488" s="23"/>
    </row>
    <row r="2489" spans="8:8" x14ac:dyDescent="0.3">
      <c r="H2489" s="23"/>
    </row>
    <row r="2490" spans="8:8" x14ac:dyDescent="0.3">
      <c r="H2490" s="23"/>
    </row>
    <row r="2491" spans="8:8" x14ac:dyDescent="0.3">
      <c r="H2491" s="23"/>
    </row>
    <row r="2492" spans="8:8" x14ac:dyDescent="0.3">
      <c r="H2492" s="23"/>
    </row>
    <row r="2493" spans="8:8" x14ac:dyDescent="0.3">
      <c r="H2493" s="23"/>
    </row>
    <row r="2494" spans="8:8" x14ac:dyDescent="0.3">
      <c r="H2494" s="23"/>
    </row>
    <row r="2495" spans="8:8" x14ac:dyDescent="0.3">
      <c r="H2495" s="23"/>
    </row>
    <row r="2496" spans="8:8" x14ac:dyDescent="0.3">
      <c r="H2496" s="23"/>
    </row>
    <row r="2497" spans="8:8" x14ac:dyDescent="0.3">
      <c r="H2497" s="23"/>
    </row>
    <row r="2498" spans="8:8" x14ac:dyDescent="0.3">
      <c r="H2498" s="23"/>
    </row>
    <row r="2499" spans="8:8" x14ac:dyDescent="0.3">
      <c r="H2499" s="23"/>
    </row>
    <row r="2500" spans="8:8" x14ac:dyDescent="0.3">
      <c r="H2500" s="23"/>
    </row>
    <row r="2501" spans="8:8" x14ac:dyDescent="0.3">
      <c r="H2501" s="23"/>
    </row>
    <row r="2502" spans="8:8" x14ac:dyDescent="0.3">
      <c r="H2502" s="23"/>
    </row>
    <row r="2503" spans="8:8" x14ac:dyDescent="0.3">
      <c r="H2503" s="23"/>
    </row>
    <row r="2504" spans="8:8" x14ac:dyDescent="0.3">
      <c r="H2504" s="23"/>
    </row>
    <row r="2505" spans="8:8" x14ac:dyDescent="0.3">
      <c r="H2505" s="23"/>
    </row>
    <row r="2506" spans="8:8" x14ac:dyDescent="0.3">
      <c r="H2506" s="23"/>
    </row>
    <row r="2507" spans="8:8" x14ac:dyDescent="0.3">
      <c r="H2507" s="23"/>
    </row>
    <row r="2508" spans="8:8" x14ac:dyDescent="0.3">
      <c r="H2508" s="23"/>
    </row>
    <row r="2509" spans="8:8" x14ac:dyDescent="0.3">
      <c r="H2509" s="23"/>
    </row>
    <row r="2510" spans="8:8" x14ac:dyDescent="0.3">
      <c r="H2510" s="23"/>
    </row>
    <row r="2511" spans="8:8" x14ac:dyDescent="0.3">
      <c r="H2511" s="23"/>
    </row>
    <row r="2512" spans="8:8" x14ac:dyDescent="0.3">
      <c r="H2512" s="23"/>
    </row>
    <row r="2513" spans="8:8" x14ac:dyDescent="0.3">
      <c r="H2513" s="23"/>
    </row>
    <row r="2514" spans="8:8" x14ac:dyDescent="0.3">
      <c r="H2514" s="23"/>
    </row>
    <row r="2515" spans="8:8" x14ac:dyDescent="0.3">
      <c r="H2515" s="23"/>
    </row>
    <row r="2516" spans="8:8" x14ac:dyDescent="0.3">
      <c r="H2516" s="23"/>
    </row>
    <row r="2517" spans="8:8" x14ac:dyDescent="0.3">
      <c r="H2517" s="23"/>
    </row>
    <row r="2518" spans="8:8" x14ac:dyDescent="0.3">
      <c r="H2518" s="23"/>
    </row>
    <row r="2519" spans="8:8" x14ac:dyDescent="0.3">
      <c r="H2519" s="23"/>
    </row>
    <row r="2520" spans="8:8" x14ac:dyDescent="0.3">
      <c r="H2520" s="23"/>
    </row>
    <row r="2521" spans="8:8" x14ac:dyDescent="0.3">
      <c r="H2521" s="23"/>
    </row>
    <row r="2522" spans="8:8" x14ac:dyDescent="0.3">
      <c r="H2522" s="23"/>
    </row>
    <row r="2523" spans="8:8" x14ac:dyDescent="0.3">
      <c r="H2523" s="23"/>
    </row>
    <row r="2524" spans="8:8" x14ac:dyDescent="0.3">
      <c r="H2524" s="23"/>
    </row>
    <row r="2525" spans="8:8" x14ac:dyDescent="0.3">
      <c r="H2525" s="23"/>
    </row>
    <row r="2526" spans="8:8" x14ac:dyDescent="0.3">
      <c r="H2526" s="23"/>
    </row>
    <row r="2527" spans="8:8" x14ac:dyDescent="0.3">
      <c r="H2527" s="23"/>
    </row>
    <row r="2528" spans="8:8" x14ac:dyDescent="0.3">
      <c r="H2528" s="23"/>
    </row>
    <row r="2529" spans="8:8" x14ac:dyDescent="0.3">
      <c r="H2529" s="23"/>
    </row>
    <row r="2530" spans="8:8" x14ac:dyDescent="0.3">
      <c r="H2530" s="23"/>
    </row>
    <row r="2531" spans="8:8" x14ac:dyDescent="0.3">
      <c r="H2531" s="23"/>
    </row>
    <row r="2532" spans="8:8" x14ac:dyDescent="0.3">
      <c r="H2532" s="23"/>
    </row>
    <row r="2533" spans="8:8" x14ac:dyDescent="0.3">
      <c r="H2533" s="23"/>
    </row>
    <row r="2534" spans="8:8" x14ac:dyDescent="0.3">
      <c r="H2534" s="23"/>
    </row>
    <row r="2535" spans="8:8" x14ac:dyDescent="0.3">
      <c r="H2535" s="23"/>
    </row>
    <row r="2536" spans="8:8" x14ac:dyDescent="0.3">
      <c r="H2536" s="23"/>
    </row>
    <row r="2537" spans="8:8" x14ac:dyDescent="0.3">
      <c r="H2537" s="23"/>
    </row>
    <row r="2538" spans="8:8" x14ac:dyDescent="0.3">
      <c r="H2538" s="23"/>
    </row>
    <row r="2539" spans="8:8" x14ac:dyDescent="0.3">
      <c r="H2539" s="23"/>
    </row>
    <row r="2540" spans="8:8" x14ac:dyDescent="0.3">
      <c r="H2540" s="23"/>
    </row>
    <row r="2541" spans="8:8" x14ac:dyDescent="0.3">
      <c r="H2541" s="23"/>
    </row>
    <row r="2542" spans="8:8" x14ac:dyDescent="0.3">
      <c r="H2542" s="23"/>
    </row>
    <row r="2543" spans="8:8" x14ac:dyDescent="0.3">
      <c r="H2543" s="23"/>
    </row>
    <row r="2544" spans="8:8" x14ac:dyDescent="0.3">
      <c r="H2544" s="23"/>
    </row>
    <row r="2545" spans="8:8" x14ac:dyDescent="0.3">
      <c r="H2545" s="23"/>
    </row>
    <row r="2546" spans="8:8" x14ac:dyDescent="0.3">
      <c r="H2546" s="23"/>
    </row>
    <row r="2547" spans="8:8" x14ac:dyDescent="0.3">
      <c r="H2547" s="23"/>
    </row>
    <row r="2548" spans="8:8" x14ac:dyDescent="0.3">
      <c r="H2548" s="23"/>
    </row>
    <row r="2549" spans="8:8" x14ac:dyDescent="0.3">
      <c r="H2549" s="23"/>
    </row>
    <row r="2550" spans="8:8" x14ac:dyDescent="0.3">
      <c r="H2550" s="23"/>
    </row>
    <row r="2551" spans="8:8" x14ac:dyDescent="0.3">
      <c r="H2551" s="23"/>
    </row>
    <row r="2552" spans="8:8" x14ac:dyDescent="0.3">
      <c r="H2552" s="23"/>
    </row>
    <row r="2553" spans="8:8" x14ac:dyDescent="0.3">
      <c r="H2553" s="23"/>
    </row>
    <row r="2554" spans="8:8" x14ac:dyDescent="0.3">
      <c r="H2554" s="23"/>
    </row>
    <row r="2555" spans="8:8" x14ac:dyDescent="0.3">
      <c r="H2555" s="23"/>
    </row>
    <row r="2556" spans="8:8" x14ac:dyDescent="0.3">
      <c r="H2556" s="23"/>
    </row>
    <row r="2557" spans="8:8" x14ac:dyDescent="0.3">
      <c r="H2557" s="23"/>
    </row>
    <row r="2558" spans="8:8" x14ac:dyDescent="0.3">
      <c r="H2558" s="23"/>
    </row>
    <row r="2559" spans="8:8" x14ac:dyDescent="0.3">
      <c r="H2559" s="23"/>
    </row>
    <row r="2560" spans="8:8" x14ac:dyDescent="0.3">
      <c r="H2560" s="23"/>
    </row>
    <row r="2561" spans="8:8" x14ac:dyDescent="0.3">
      <c r="H2561" s="23"/>
    </row>
    <row r="2562" spans="8:8" x14ac:dyDescent="0.3">
      <c r="H2562" s="23"/>
    </row>
    <row r="2563" spans="8:8" x14ac:dyDescent="0.3">
      <c r="H2563" s="23"/>
    </row>
    <row r="2564" spans="8:8" x14ac:dyDescent="0.3">
      <c r="H2564" s="23"/>
    </row>
    <row r="2565" spans="8:8" x14ac:dyDescent="0.3">
      <c r="H2565" s="23"/>
    </row>
    <row r="2566" spans="8:8" x14ac:dyDescent="0.3">
      <c r="H2566" s="23"/>
    </row>
    <row r="2567" spans="8:8" x14ac:dyDescent="0.3">
      <c r="H2567" s="23"/>
    </row>
    <row r="2568" spans="8:8" x14ac:dyDescent="0.3">
      <c r="H2568" s="23"/>
    </row>
    <row r="2569" spans="8:8" x14ac:dyDescent="0.3">
      <c r="H2569" s="23"/>
    </row>
    <row r="2570" spans="8:8" x14ac:dyDescent="0.3">
      <c r="H2570" s="23"/>
    </row>
    <row r="2571" spans="8:8" x14ac:dyDescent="0.3">
      <c r="H2571" s="23"/>
    </row>
    <row r="2572" spans="8:8" x14ac:dyDescent="0.3">
      <c r="H2572" s="23"/>
    </row>
    <row r="2573" spans="8:8" x14ac:dyDescent="0.3">
      <c r="H2573" s="23"/>
    </row>
    <row r="2574" spans="8:8" x14ac:dyDescent="0.3">
      <c r="H2574" s="23"/>
    </row>
    <row r="2575" spans="8:8" x14ac:dyDescent="0.3">
      <c r="H2575" s="23"/>
    </row>
    <row r="2576" spans="8:8" x14ac:dyDescent="0.3">
      <c r="H2576" s="23"/>
    </row>
    <row r="2577" spans="8:8" x14ac:dyDescent="0.3">
      <c r="H2577" s="23"/>
    </row>
    <row r="2578" spans="8:8" x14ac:dyDescent="0.3">
      <c r="H2578" s="23"/>
    </row>
    <row r="2579" spans="8:8" x14ac:dyDescent="0.3">
      <c r="H2579" s="23"/>
    </row>
    <row r="2580" spans="8:8" x14ac:dyDescent="0.3">
      <c r="H2580" s="23"/>
    </row>
    <row r="2581" spans="8:8" x14ac:dyDescent="0.3">
      <c r="H2581" s="23"/>
    </row>
    <row r="2582" spans="8:8" x14ac:dyDescent="0.3">
      <c r="H2582" s="23"/>
    </row>
    <row r="2583" spans="8:8" x14ac:dyDescent="0.3">
      <c r="H2583" s="23"/>
    </row>
    <row r="2584" spans="8:8" x14ac:dyDescent="0.3">
      <c r="H2584" s="23"/>
    </row>
    <row r="2585" spans="8:8" x14ac:dyDescent="0.3">
      <c r="H2585" s="23"/>
    </row>
    <row r="2586" spans="8:8" x14ac:dyDescent="0.3">
      <c r="H2586" s="23"/>
    </row>
    <row r="2587" spans="8:8" x14ac:dyDescent="0.3">
      <c r="H2587" s="23"/>
    </row>
    <row r="2588" spans="8:8" x14ac:dyDescent="0.3">
      <c r="H2588" s="23"/>
    </row>
    <row r="2589" spans="8:8" x14ac:dyDescent="0.3">
      <c r="H2589" s="23"/>
    </row>
    <row r="2590" spans="8:8" x14ac:dyDescent="0.3">
      <c r="H2590" s="23"/>
    </row>
    <row r="2591" spans="8:8" x14ac:dyDescent="0.3">
      <c r="H2591" s="23"/>
    </row>
    <row r="2592" spans="8:8" x14ac:dyDescent="0.3">
      <c r="H2592" s="23"/>
    </row>
    <row r="2593" spans="8:8" x14ac:dyDescent="0.3">
      <c r="H2593" s="23"/>
    </row>
    <row r="2594" spans="8:8" x14ac:dyDescent="0.3">
      <c r="H2594" s="23"/>
    </row>
    <row r="2595" spans="8:8" x14ac:dyDescent="0.3">
      <c r="H2595" s="23"/>
    </row>
    <row r="2596" spans="8:8" x14ac:dyDescent="0.3">
      <c r="H2596" s="23"/>
    </row>
    <row r="2597" spans="8:8" x14ac:dyDescent="0.3">
      <c r="H2597" s="23"/>
    </row>
    <row r="2598" spans="8:8" x14ac:dyDescent="0.3">
      <c r="H2598" s="23"/>
    </row>
    <row r="2599" spans="8:8" x14ac:dyDescent="0.3">
      <c r="H2599" s="23"/>
    </row>
    <row r="2600" spans="8:8" x14ac:dyDescent="0.3">
      <c r="H2600" s="23"/>
    </row>
    <row r="2601" spans="8:8" x14ac:dyDescent="0.3">
      <c r="H2601" s="23"/>
    </row>
    <row r="2602" spans="8:8" x14ac:dyDescent="0.3">
      <c r="H2602" s="23"/>
    </row>
    <row r="2603" spans="8:8" x14ac:dyDescent="0.3">
      <c r="H2603" s="23"/>
    </row>
    <row r="2604" spans="8:8" x14ac:dyDescent="0.3">
      <c r="H2604" s="23"/>
    </row>
    <row r="2605" spans="8:8" x14ac:dyDescent="0.3">
      <c r="H2605" s="23"/>
    </row>
    <row r="2606" spans="8:8" x14ac:dyDescent="0.3">
      <c r="H2606" s="23"/>
    </row>
    <row r="2607" spans="8:8" x14ac:dyDescent="0.3">
      <c r="H2607" s="23"/>
    </row>
    <row r="2608" spans="8:8" x14ac:dyDescent="0.3">
      <c r="H2608" s="23"/>
    </row>
    <row r="2609" spans="8:8" x14ac:dyDescent="0.3">
      <c r="H2609" s="23"/>
    </row>
    <row r="2610" spans="8:8" x14ac:dyDescent="0.3">
      <c r="H2610" s="23"/>
    </row>
    <row r="2611" spans="8:8" x14ac:dyDescent="0.3">
      <c r="H2611" s="23"/>
    </row>
    <row r="2612" spans="8:8" x14ac:dyDescent="0.3">
      <c r="H2612" s="23"/>
    </row>
    <row r="2613" spans="8:8" x14ac:dyDescent="0.3">
      <c r="H2613" s="23"/>
    </row>
    <row r="2614" spans="8:8" x14ac:dyDescent="0.3">
      <c r="H2614" s="23"/>
    </row>
    <row r="2615" spans="8:8" x14ac:dyDescent="0.3">
      <c r="H2615" s="23"/>
    </row>
    <row r="2616" spans="8:8" x14ac:dyDescent="0.3">
      <c r="H2616" s="23"/>
    </row>
    <row r="2617" spans="8:8" x14ac:dyDescent="0.3">
      <c r="H2617" s="23"/>
    </row>
    <row r="2618" spans="8:8" x14ac:dyDescent="0.3">
      <c r="H2618" s="23"/>
    </row>
    <row r="2619" spans="8:8" x14ac:dyDescent="0.3">
      <c r="H2619" s="23"/>
    </row>
    <row r="2620" spans="8:8" x14ac:dyDescent="0.3">
      <c r="H2620" s="23"/>
    </row>
    <row r="2621" spans="8:8" x14ac:dyDescent="0.3">
      <c r="H2621" s="23"/>
    </row>
    <row r="2622" spans="8:8" x14ac:dyDescent="0.3">
      <c r="H2622" s="23"/>
    </row>
    <row r="2623" spans="8:8" x14ac:dyDescent="0.3">
      <c r="H2623" s="23"/>
    </row>
    <row r="2624" spans="8:8" x14ac:dyDescent="0.3">
      <c r="H2624" s="23"/>
    </row>
    <row r="2625" spans="8:8" x14ac:dyDescent="0.3">
      <c r="H2625" s="23"/>
    </row>
    <row r="2626" spans="8:8" x14ac:dyDescent="0.3">
      <c r="H2626" s="23"/>
    </row>
    <row r="2627" spans="8:8" x14ac:dyDescent="0.3">
      <c r="H2627" s="23"/>
    </row>
    <row r="2628" spans="8:8" x14ac:dyDescent="0.3">
      <c r="H2628" s="23"/>
    </row>
    <row r="2629" spans="8:8" x14ac:dyDescent="0.3">
      <c r="H2629" s="23"/>
    </row>
    <row r="2630" spans="8:8" x14ac:dyDescent="0.3">
      <c r="H2630" s="23"/>
    </row>
    <row r="2631" spans="8:8" x14ac:dyDescent="0.3">
      <c r="H2631" s="23"/>
    </row>
    <row r="2632" spans="8:8" x14ac:dyDescent="0.3">
      <c r="H2632" s="23"/>
    </row>
    <row r="2633" spans="8:8" x14ac:dyDescent="0.3">
      <c r="H2633" s="23"/>
    </row>
    <row r="2634" spans="8:8" x14ac:dyDescent="0.3">
      <c r="H2634" s="23"/>
    </row>
    <row r="2635" spans="8:8" x14ac:dyDescent="0.3">
      <c r="H2635" s="23"/>
    </row>
    <row r="2636" spans="8:8" x14ac:dyDescent="0.3">
      <c r="H2636" s="23"/>
    </row>
  </sheetData>
  <sortState xmlns:xlrd2="http://schemas.microsoft.com/office/spreadsheetml/2017/richdata2" ref="A2:P2640">
    <sortCondition ref="A2:A2640"/>
    <sortCondition ref="D2:D26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4128-5B74-4692-8224-700DFAB95EBD}">
  <dimension ref="A1:C294"/>
  <sheetViews>
    <sheetView workbookViewId="0">
      <selection activeCell="C57" sqref="C57"/>
    </sheetView>
  </sheetViews>
  <sheetFormatPr defaultRowHeight="14.4" x14ac:dyDescent="0.3"/>
  <cols>
    <col min="1" max="1" width="15.5546875" bestFit="1" customWidth="1"/>
    <col min="3" max="3" width="10.109375" bestFit="1" customWidth="1"/>
  </cols>
  <sheetData>
    <row r="1" spans="1:3" x14ac:dyDescent="0.3">
      <c r="A1" s="17" t="str" cm="1">
        <f t="array" ref="A1:A294">_xlfn.UNIQUE(GameStats!C:C)</f>
        <v>Player</v>
      </c>
      <c r="C1" s="28"/>
    </row>
    <row r="2" spans="1:3" x14ac:dyDescent="0.3">
      <c r="A2" s="18" t="str">
        <v>SoXu</v>
      </c>
    </row>
    <row r="3" spans="1:3" x14ac:dyDescent="0.3">
      <c r="A3" s="18" t="str">
        <v>Osb</v>
      </c>
    </row>
    <row r="4" spans="1:3" x14ac:dyDescent="0.3">
      <c r="A4" s="18" t="str">
        <v>SodaFromHell</v>
      </c>
    </row>
    <row r="5" spans="1:3" x14ac:dyDescent="0.3">
      <c r="A5" s="18" t="str">
        <v>Nightmare91</v>
      </c>
    </row>
    <row r="6" spans="1:3" x14ac:dyDescent="0.3">
      <c r="A6" s="18" t="str">
        <v>xFreshNeZz</v>
      </c>
    </row>
    <row r="7" spans="1:3" x14ac:dyDescent="0.3">
      <c r="A7" s="18" t="str">
        <v>ColdMist</v>
      </c>
    </row>
    <row r="8" spans="1:3" x14ac:dyDescent="0.3">
      <c r="A8" s="18" t="str">
        <v>Skyrone</v>
      </c>
    </row>
    <row r="9" spans="1:3" x14ac:dyDescent="0.3">
      <c r="A9" s="18" t="str">
        <v>Jax</v>
      </c>
    </row>
    <row r="10" spans="1:3" x14ac:dyDescent="0.3">
      <c r="A10" s="18" t="str">
        <v>Nerla</v>
      </c>
    </row>
    <row r="11" spans="1:3" x14ac:dyDescent="0.3">
      <c r="A11" s="18" t="str">
        <v>kektus</v>
      </c>
    </row>
    <row r="12" spans="1:3" x14ac:dyDescent="0.3">
      <c r="A12" s="18" t="str">
        <v>Trusty</v>
      </c>
    </row>
    <row r="13" spans="1:3" x14ac:dyDescent="0.3">
      <c r="A13" s="18" t="str">
        <v>TwoFourThree</v>
      </c>
    </row>
    <row r="14" spans="1:3" x14ac:dyDescent="0.3">
      <c r="A14" s="18" t="str">
        <v>YesIAm</v>
      </c>
    </row>
    <row r="15" spans="1:3" x14ac:dyDescent="0.3">
      <c r="A15" s="18" t="str">
        <v>Pugynea</v>
      </c>
    </row>
    <row r="16" spans="1:3" x14ac:dyDescent="0.3">
      <c r="A16" s="18" t="str">
        <v>BuFuKerri</v>
      </c>
    </row>
    <row r="17" spans="1:1" x14ac:dyDescent="0.3">
      <c r="A17" s="18" t="str">
        <v>Todesfub</v>
      </c>
    </row>
    <row r="18" spans="1:1" x14ac:dyDescent="0.3">
      <c r="A18" s="18" t="str">
        <v>iceghost</v>
      </c>
    </row>
    <row r="19" spans="1:1" x14ac:dyDescent="0.3">
      <c r="A19" s="18" t="str">
        <v>StarDrifter</v>
      </c>
    </row>
    <row r="20" spans="1:1" x14ac:dyDescent="0.3">
      <c r="A20" s="18" t="str">
        <v>INSANEMONKEY</v>
      </c>
    </row>
    <row r="21" spans="1:1" x14ac:dyDescent="0.3">
      <c r="A21" s="18" t="str">
        <v>TENGIL</v>
      </c>
    </row>
    <row r="22" spans="1:1" x14ac:dyDescent="0.3">
      <c r="A22" s="18" t="str">
        <v>Powerstroke1</v>
      </c>
    </row>
    <row r="23" spans="1:1" x14ac:dyDescent="0.3">
      <c r="A23" s="18" t="str">
        <v>Ernest1s</v>
      </c>
    </row>
    <row r="24" spans="1:1" x14ac:dyDescent="0.3">
      <c r="A24" s="18" t="str">
        <v>UniK</v>
      </c>
    </row>
    <row r="25" spans="1:1" x14ac:dyDescent="0.3">
      <c r="A25" s="18" t="str">
        <v>morythin</v>
      </c>
    </row>
    <row r="26" spans="1:1" x14ac:dyDescent="0.3">
      <c r="A26" s="18" t="str">
        <v>Derreger420</v>
      </c>
    </row>
    <row r="27" spans="1:1" x14ac:dyDescent="0.3">
      <c r="A27" s="18" t="str">
        <v>easterbunny</v>
      </c>
    </row>
    <row r="28" spans="1:1" x14ac:dyDescent="0.3">
      <c r="A28" s="18" t="str">
        <v>ShimodaJones</v>
      </c>
    </row>
    <row r="29" spans="1:1" x14ac:dyDescent="0.3">
      <c r="A29" s="18" t="str">
        <v>baboonboy</v>
      </c>
    </row>
    <row r="30" spans="1:1" x14ac:dyDescent="0.3">
      <c r="A30" s="18" t="str">
        <v>WageGap</v>
      </c>
    </row>
    <row r="31" spans="1:1" x14ac:dyDescent="0.3">
      <c r="A31" s="18" t="str">
        <v>Pleomond</v>
      </c>
    </row>
    <row r="32" spans="1:1" x14ac:dyDescent="0.3">
      <c r="A32" s="18" t="str">
        <v>EagLeCrackV</v>
      </c>
    </row>
    <row r="33" spans="1:1" x14ac:dyDescent="0.3">
      <c r="A33" s="18" t="str">
        <v>LcR131n</v>
      </c>
    </row>
    <row r="34" spans="1:1" x14ac:dyDescent="0.3">
      <c r="A34" s="18" t="str">
        <v>EriktheGreat</v>
      </c>
    </row>
    <row r="35" spans="1:1" x14ac:dyDescent="0.3">
      <c r="A35" s="18" t="str">
        <v>Dauda</v>
      </c>
    </row>
    <row r="36" spans="1:1" x14ac:dyDescent="0.3">
      <c r="A36" s="18" t="str">
        <v>Ev1LTigER</v>
      </c>
    </row>
    <row r="37" spans="1:1" x14ac:dyDescent="0.3">
      <c r="A37" s="18" t="str">
        <v>MinaMoto</v>
      </c>
    </row>
    <row r="38" spans="1:1" x14ac:dyDescent="0.3">
      <c r="A38" s="18" t="str">
        <v>Jirenuber</v>
      </c>
    </row>
    <row r="39" spans="1:1" x14ac:dyDescent="0.3">
      <c r="A39" s="18" t="str">
        <v>Darkknight</v>
      </c>
    </row>
    <row r="40" spans="1:1" x14ac:dyDescent="0.3">
      <c r="A40" s="18" t="str">
        <v>GDArchangel</v>
      </c>
    </row>
    <row r="41" spans="1:1" x14ac:dyDescent="0.3">
      <c r="A41" s="18" t="str">
        <v>Certitude</v>
      </c>
    </row>
    <row r="42" spans="1:1" x14ac:dyDescent="0.3">
      <c r="A42" s="18" t="str">
        <v>Cranky</v>
      </c>
    </row>
    <row r="43" spans="1:1" x14ac:dyDescent="0.3">
      <c r="A43" s="18" t="str">
        <v>SilverHawk</v>
      </c>
    </row>
    <row r="44" spans="1:1" x14ac:dyDescent="0.3">
      <c r="A44" s="18" t="str">
        <v>kizzp</v>
      </c>
    </row>
    <row r="45" spans="1:1" x14ac:dyDescent="0.3">
      <c r="A45" s="18" t="str">
        <v>girthquake</v>
      </c>
    </row>
    <row r="46" spans="1:1" x14ac:dyDescent="0.3">
      <c r="A46" s="18" t="str">
        <v>PhantomLIG8</v>
      </c>
    </row>
    <row r="47" spans="1:1" x14ac:dyDescent="0.3">
      <c r="A47" s="18" t="str">
        <v>Tbone</v>
      </c>
    </row>
    <row r="48" spans="1:1" x14ac:dyDescent="0.3">
      <c r="A48" s="18" t="str">
        <v>Kapil</v>
      </c>
    </row>
    <row r="49" spans="1:1" x14ac:dyDescent="0.3">
      <c r="A49" s="18" t="str">
        <v>CryptoSense</v>
      </c>
    </row>
    <row r="50" spans="1:1" x14ac:dyDescent="0.3">
      <c r="A50" s="18" t="str">
        <v>Unknown</v>
      </c>
    </row>
    <row r="51" spans="1:1" x14ac:dyDescent="0.3">
      <c r="A51" s="18" t="str">
        <v>Arfan</v>
      </c>
    </row>
    <row r="52" spans="1:1" x14ac:dyDescent="0.3">
      <c r="A52" s="18" t="str">
        <v>LeviAckerman</v>
      </c>
    </row>
    <row r="53" spans="1:1" x14ac:dyDescent="0.3">
      <c r="A53" s="18" t="str">
        <v>idorobots</v>
      </c>
    </row>
    <row r="54" spans="1:1" x14ac:dyDescent="0.3">
      <c r="A54" s="18" t="str">
        <v>Kaov</v>
      </c>
    </row>
    <row r="55" spans="1:1" x14ac:dyDescent="0.3">
      <c r="A55" s="18" t="str">
        <v>Delroy</v>
      </c>
    </row>
    <row r="56" spans="1:1" x14ac:dyDescent="0.3">
      <c r="A56" s="18" t="str">
        <v>Taptheslap</v>
      </c>
    </row>
    <row r="57" spans="1:1" x14ac:dyDescent="0.3">
      <c r="A57" s="18" t="str">
        <v>cadiz32</v>
      </c>
    </row>
    <row r="58" spans="1:1" x14ac:dyDescent="0.3">
      <c r="A58" s="18" t="str">
        <v>scourgelord</v>
      </c>
    </row>
    <row r="59" spans="1:1" x14ac:dyDescent="0.3">
      <c r="A59" s="18" t="str">
        <v>Dernos</v>
      </c>
    </row>
    <row r="60" spans="1:1" x14ac:dyDescent="0.3">
      <c r="A60" s="18" t="str">
        <v>kremon</v>
      </c>
    </row>
    <row r="61" spans="1:1" x14ac:dyDescent="0.3">
      <c r="A61" s="18" t="str">
        <v>noswear</v>
      </c>
    </row>
    <row r="62" spans="1:1" x14ac:dyDescent="0.3">
      <c r="A62" s="18" t="str">
        <v>Tempus</v>
      </c>
    </row>
    <row r="63" spans="1:1" x14ac:dyDescent="0.3">
      <c r="A63" s="18" t="str">
        <v>Pikachu</v>
      </c>
    </row>
    <row r="64" spans="1:1" x14ac:dyDescent="0.3">
      <c r="A64" s="18" t="str">
        <v>radmantis</v>
      </c>
    </row>
    <row r="65" spans="1:1" x14ac:dyDescent="0.3">
      <c r="A65" s="18" t="str">
        <v>Aya</v>
      </c>
    </row>
    <row r="66" spans="1:1" x14ac:dyDescent="0.3">
      <c r="A66" s="18" t="str">
        <v>SMW</v>
      </c>
    </row>
    <row r="67" spans="1:1" x14ac:dyDescent="0.3">
      <c r="A67" s="18" t="str">
        <v>Finicky</v>
      </c>
    </row>
    <row r="68" spans="1:1" x14ac:dyDescent="0.3">
      <c r="A68" s="18" t="str">
        <v>Sir8ob</v>
      </c>
    </row>
    <row r="69" spans="1:1" x14ac:dyDescent="0.3">
      <c r="A69" s="18" t="str">
        <v>Sapphirez</v>
      </c>
    </row>
    <row r="70" spans="1:1" x14ac:dyDescent="0.3">
      <c r="A70" s="18" t="str">
        <v>Firdo</v>
      </c>
    </row>
    <row r="71" spans="1:1" x14ac:dyDescent="0.3">
      <c r="A71" s="18" t="str">
        <v>HAI</v>
      </c>
    </row>
    <row r="72" spans="1:1" x14ac:dyDescent="0.3">
      <c r="A72" s="18" t="str">
        <v>mortlock</v>
      </c>
    </row>
    <row r="73" spans="1:1" x14ac:dyDescent="0.3">
      <c r="A73" s="18" t="str">
        <v>KloXu</v>
      </c>
    </row>
    <row r="74" spans="1:1" x14ac:dyDescent="0.3">
      <c r="A74" s="18" t="str">
        <v>hasooon</v>
      </c>
    </row>
    <row r="75" spans="1:1" x14ac:dyDescent="0.3">
      <c r="A75" s="18" t="str">
        <v>YajKMA</v>
      </c>
    </row>
    <row r="76" spans="1:1" x14ac:dyDescent="0.3">
      <c r="A76" s="18" t="str">
        <v>Waffle</v>
      </c>
    </row>
    <row r="77" spans="1:1" x14ac:dyDescent="0.3">
      <c r="A77" s="18" t="str">
        <v>Nicolai95</v>
      </c>
    </row>
    <row r="78" spans="1:1" x14ac:dyDescent="0.3">
      <c r="A78" s="18" t="str">
        <v>TwistyMcPink</v>
      </c>
    </row>
    <row r="79" spans="1:1" x14ac:dyDescent="0.3">
      <c r="A79" s="18" t="str">
        <v>Mokkalokka</v>
      </c>
    </row>
    <row r="80" spans="1:1" x14ac:dyDescent="0.3">
      <c r="A80" s="18" t="str">
        <v>Guratas</v>
      </c>
    </row>
    <row r="81" spans="1:1" x14ac:dyDescent="0.3">
      <c r="A81" s="18" t="str">
        <v>Quetra</v>
      </c>
    </row>
    <row r="82" spans="1:1" x14ac:dyDescent="0.3">
      <c r="A82" s="18" t="str">
        <v>Universe</v>
      </c>
    </row>
    <row r="83" spans="1:1" x14ac:dyDescent="0.3">
      <c r="A83" s="18" t="str">
        <v>Dirican</v>
      </c>
    </row>
    <row r="84" spans="1:1" x14ac:dyDescent="0.3">
      <c r="A84" s="18" t="str">
        <v>tbatch1</v>
      </c>
    </row>
    <row r="85" spans="1:1" x14ac:dyDescent="0.3">
      <c r="A85" s="18" t="str">
        <v>sordak</v>
      </c>
    </row>
    <row r="86" spans="1:1" x14ac:dyDescent="0.3">
      <c r="A86" s="18" t="str">
        <v>Aventurier</v>
      </c>
    </row>
    <row r="87" spans="1:1" x14ac:dyDescent="0.3">
      <c r="A87" s="18" t="str">
        <v>Obli</v>
      </c>
    </row>
    <row r="88" spans="1:1" x14ac:dyDescent="0.3">
      <c r="A88" s="18" t="str">
        <v>Greenrust</v>
      </c>
    </row>
    <row r="89" spans="1:1" x14ac:dyDescent="0.3">
      <c r="A89" s="18" t="str">
        <v>Poomonky</v>
      </c>
    </row>
    <row r="90" spans="1:1" x14ac:dyDescent="0.3">
      <c r="A90" s="18" t="str">
        <v>Smoko21</v>
      </c>
    </row>
    <row r="91" spans="1:1" x14ac:dyDescent="0.3">
      <c r="A91" s="18" t="str">
        <v>FluffiFluf</v>
      </c>
    </row>
    <row r="92" spans="1:1" x14ac:dyDescent="0.3">
      <c r="A92" s="18" t="str">
        <v>Weik</v>
      </c>
    </row>
    <row r="93" spans="1:1" x14ac:dyDescent="0.3">
      <c r="A93" s="18" t="str">
        <v>Krogiloid</v>
      </c>
    </row>
    <row r="94" spans="1:1" x14ac:dyDescent="0.3">
      <c r="A94" s="18" t="str">
        <v>Fredrik</v>
      </c>
    </row>
    <row r="95" spans="1:1" x14ac:dyDescent="0.3">
      <c r="A95" s="18" t="str">
        <v>Inbreeder</v>
      </c>
    </row>
    <row r="96" spans="1:1" x14ac:dyDescent="0.3">
      <c r="A96" s="18" t="str">
        <v>Dkang</v>
      </c>
    </row>
    <row r="97" spans="1:1" x14ac:dyDescent="0.3">
      <c r="A97" s="18" t="str">
        <v>OleYeller</v>
      </c>
    </row>
    <row r="98" spans="1:1" x14ac:dyDescent="0.3">
      <c r="A98" s="18" t="str">
        <v>Swedishpro</v>
      </c>
    </row>
    <row r="99" spans="1:1" x14ac:dyDescent="0.3">
      <c r="A99" s="18" t="str">
        <v>Fanka</v>
      </c>
    </row>
    <row r="100" spans="1:1" x14ac:dyDescent="0.3">
      <c r="A100" s="18" t="str">
        <v>DeKaL</v>
      </c>
    </row>
    <row r="101" spans="1:1" x14ac:dyDescent="0.3">
      <c r="A101" s="18" t="str">
        <v>Balboa</v>
      </c>
    </row>
    <row r="102" spans="1:1" x14ac:dyDescent="0.3">
      <c r="A102" s="18" t="str">
        <v>SABEEE</v>
      </c>
    </row>
    <row r="103" spans="1:1" x14ac:dyDescent="0.3">
      <c r="A103" s="18" t="str">
        <v>Saladin</v>
      </c>
    </row>
    <row r="104" spans="1:1" x14ac:dyDescent="0.3">
      <c r="A104" s="18" t="str">
        <v>Zernez</v>
      </c>
    </row>
    <row r="105" spans="1:1" x14ac:dyDescent="0.3">
      <c r="A105" s="18" t="str">
        <v>Rollitupbaby</v>
      </c>
    </row>
    <row r="106" spans="1:1" x14ac:dyDescent="0.3">
      <c r="A106" s="18" t="str">
        <v>CrazySicko</v>
      </c>
    </row>
    <row r="107" spans="1:1" x14ac:dyDescent="0.3">
      <c r="A107" s="18" t="str">
        <v>OleYellow</v>
      </c>
    </row>
    <row r="108" spans="1:1" x14ac:dyDescent="0.3">
      <c r="A108" s="18" t="str">
        <v>Sly125</v>
      </c>
    </row>
    <row r="109" spans="1:1" x14ac:dyDescent="0.3">
      <c r="A109" s="18" t="str">
        <v>Freshcurls</v>
      </c>
    </row>
    <row r="110" spans="1:1" x14ac:dyDescent="0.3">
      <c r="A110" s="18" t="str">
        <v>CivPunisher</v>
      </c>
    </row>
    <row r="111" spans="1:1" x14ac:dyDescent="0.3">
      <c r="A111" s="18" t="str">
        <v>iMrDoom</v>
      </c>
    </row>
    <row r="112" spans="1:1" x14ac:dyDescent="0.3">
      <c r="A112" s="18" t="str">
        <v>Riskstoner</v>
      </c>
    </row>
    <row r="113" spans="1:1" x14ac:dyDescent="0.3">
      <c r="A113" s="18" t="str">
        <v>Benjamin</v>
      </c>
    </row>
    <row r="114" spans="1:1" x14ac:dyDescent="0.3">
      <c r="A114" s="18" t="str">
        <v>Mike</v>
      </c>
    </row>
    <row r="115" spans="1:1" x14ac:dyDescent="0.3">
      <c r="A115" s="18" t="str">
        <v>Chaos</v>
      </c>
    </row>
    <row r="116" spans="1:1" x14ac:dyDescent="0.3">
      <c r="A116" s="18" t="str">
        <v>roflmaooo</v>
      </c>
    </row>
    <row r="117" spans="1:1" x14ac:dyDescent="0.3">
      <c r="A117" s="18" t="str">
        <v>Luciniel</v>
      </c>
    </row>
    <row r="118" spans="1:1" x14ac:dyDescent="0.3">
      <c r="A118" s="18" t="str">
        <v>AwesomeGuy</v>
      </c>
    </row>
    <row r="119" spans="1:1" x14ac:dyDescent="0.3">
      <c r="A119" s="18" t="str">
        <v>egernpaetben</v>
      </c>
    </row>
    <row r="120" spans="1:1" x14ac:dyDescent="0.3">
      <c r="A120" s="18" t="str">
        <v>Drayden517</v>
      </c>
    </row>
    <row r="121" spans="1:1" x14ac:dyDescent="0.3">
      <c r="A121" s="18" t="str">
        <v>none</v>
      </c>
    </row>
    <row r="122" spans="1:1" x14ac:dyDescent="0.3">
      <c r="A122" s="18" t="str">
        <v>tdawg</v>
      </c>
    </row>
    <row r="123" spans="1:1" x14ac:dyDescent="0.3">
      <c r="A123" s="18" t="str">
        <v>msciworld</v>
      </c>
    </row>
    <row r="124" spans="1:1" x14ac:dyDescent="0.3">
      <c r="A124" s="18" t="str">
        <v>mono</v>
      </c>
    </row>
    <row r="125" spans="1:1" x14ac:dyDescent="0.3">
      <c r="A125" s="18" t="str">
        <v>einz</v>
      </c>
    </row>
    <row r="126" spans="1:1" x14ac:dyDescent="0.3">
      <c r="A126" s="18" t="str">
        <v>noctis</v>
      </c>
    </row>
    <row r="127" spans="1:1" x14ac:dyDescent="0.3">
      <c r="A127" s="18" t="str">
        <v>nitsche</v>
      </c>
    </row>
    <row r="128" spans="1:1" x14ac:dyDescent="0.3">
      <c r="A128" s="18" t="str">
        <v>harakiri</v>
      </c>
    </row>
    <row r="129" spans="1:1" x14ac:dyDescent="0.3">
      <c r="A129" s="18" t="str">
        <v>untildeath</v>
      </c>
    </row>
    <row r="130" spans="1:1" x14ac:dyDescent="0.3">
      <c r="A130" s="18" t="str">
        <v>toothbrusher</v>
      </c>
    </row>
    <row r="131" spans="1:1" x14ac:dyDescent="0.3">
      <c r="A131" s="18" t="str">
        <v>monsalo</v>
      </c>
    </row>
    <row r="132" spans="1:1" x14ac:dyDescent="0.3">
      <c r="A132" s="18" t="str">
        <v>smokey</v>
      </c>
    </row>
    <row r="133" spans="1:1" x14ac:dyDescent="0.3">
      <c r="A133" s="18" t="str">
        <v>reddragon</v>
      </c>
    </row>
    <row r="134" spans="1:1" x14ac:dyDescent="0.3">
      <c r="A134" s="18" t="str">
        <v>drugvalter</v>
      </c>
    </row>
    <row r="135" spans="1:1" x14ac:dyDescent="0.3">
      <c r="A135" s="18" t="str">
        <v>filthyhippy</v>
      </c>
    </row>
    <row r="136" spans="1:1" x14ac:dyDescent="0.3">
      <c r="A136" s="18" t="str">
        <v>yoboiskittle</v>
      </c>
    </row>
    <row r="137" spans="1:1" x14ac:dyDescent="0.3">
      <c r="A137" s="18" t="str">
        <v>mortengf</v>
      </c>
    </row>
    <row r="138" spans="1:1" x14ac:dyDescent="0.3">
      <c r="A138" s="18" t="str">
        <v>heckman</v>
      </c>
    </row>
    <row r="139" spans="1:1" x14ac:dyDescent="0.3">
      <c r="A139" s="18" t="str">
        <v>deprener</v>
      </c>
    </row>
    <row r="140" spans="1:1" x14ac:dyDescent="0.3">
      <c r="A140" s="18" t="str">
        <v>mappy</v>
      </c>
    </row>
    <row r="141" spans="1:1" x14ac:dyDescent="0.3">
      <c r="A141" s="18" t="str">
        <v>swanlee</v>
      </c>
    </row>
    <row r="142" spans="1:1" x14ac:dyDescent="0.3">
      <c r="A142" s="18" t="str">
        <v>comboe</v>
      </c>
    </row>
    <row r="143" spans="1:1" x14ac:dyDescent="0.3">
      <c r="A143" s="18" t="str">
        <v>bambucha21</v>
      </c>
    </row>
    <row r="144" spans="1:1" x14ac:dyDescent="0.3">
      <c r="A144" s="18" t="str">
        <v>sircogollo</v>
      </c>
    </row>
    <row r="145" spans="1:1" x14ac:dyDescent="0.3">
      <c r="A145" s="18" t="str">
        <v>fipsinger</v>
      </c>
    </row>
    <row r="146" spans="1:1" x14ac:dyDescent="0.3">
      <c r="A146" s="18" t="str">
        <v>sryisuck</v>
      </c>
    </row>
    <row r="147" spans="1:1" x14ac:dyDescent="0.3">
      <c r="A147" s="18" t="str">
        <v>ivantm</v>
      </c>
    </row>
    <row r="148" spans="1:1" x14ac:dyDescent="0.3">
      <c r="A148" s="18" t="str">
        <v>marros</v>
      </c>
    </row>
    <row r="149" spans="1:1" x14ac:dyDescent="0.3">
      <c r="A149" s="18" t="str">
        <v>nextlevel019</v>
      </c>
    </row>
    <row r="150" spans="1:1" x14ac:dyDescent="0.3">
      <c r="A150" s="18" t="str">
        <v>theflay</v>
      </c>
    </row>
    <row r="151" spans="1:1" x14ac:dyDescent="0.3">
      <c r="A151" s="18" t="str">
        <v>yuri</v>
      </c>
    </row>
    <row r="152" spans="1:1" x14ac:dyDescent="0.3">
      <c r="A152" s="18" t="str">
        <v>ratuni</v>
      </c>
    </row>
    <row r="153" spans="1:1" x14ac:dyDescent="0.3">
      <c r="A153" s="18" t="str">
        <v>moist</v>
      </c>
    </row>
    <row r="154" spans="1:1" x14ac:dyDescent="0.3">
      <c r="A154" t="str">
        <v>irvipeaceful</v>
      </c>
    </row>
    <row r="155" spans="1:1" x14ac:dyDescent="0.3">
      <c r="A155" t="str">
        <v>glob3lz</v>
      </c>
    </row>
    <row r="156" spans="1:1" x14ac:dyDescent="0.3">
      <c r="A156" t="str">
        <v>dane</v>
      </c>
    </row>
    <row r="157" spans="1:1" x14ac:dyDescent="0.3">
      <c r="A157" t="str">
        <v>ziggy</v>
      </c>
    </row>
    <row r="158" spans="1:1" x14ac:dyDescent="0.3">
      <c r="A158" t="str">
        <v>ratty</v>
      </c>
    </row>
    <row r="159" spans="1:1" x14ac:dyDescent="0.3">
      <c r="A159" t="str">
        <v>overthrow</v>
      </c>
    </row>
    <row r="160" spans="1:1" x14ac:dyDescent="0.3">
      <c r="A160" t="str">
        <v>jimpansos</v>
      </c>
    </row>
    <row r="161" spans="1:1" x14ac:dyDescent="0.3">
      <c r="A161" t="str">
        <v>lobban</v>
      </c>
    </row>
    <row r="162" spans="1:1" x14ac:dyDescent="0.3">
      <c r="A162" t="str">
        <v>lj2100</v>
      </c>
    </row>
    <row r="163" spans="1:1" x14ac:dyDescent="0.3">
      <c r="A163" t="str">
        <v>philwithaces</v>
      </c>
    </row>
    <row r="164" spans="1:1" x14ac:dyDescent="0.3">
      <c r="A164" t="str">
        <v>kingsgambit</v>
      </c>
    </row>
    <row r="165" spans="1:1" x14ac:dyDescent="0.3">
      <c r="A165" t="str">
        <v>hrdielko</v>
      </c>
    </row>
    <row r="166" spans="1:1" x14ac:dyDescent="0.3">
      <c r="A166" t="str">
        <v>arkas</v>
      </c>
    </row>
    <row r="167" spans="1:1" x14ac:dyDescent="0.3">
      <c r="A167" t="str">
        <v>risknotlego</v>
      </c>
    </row>
    <row r="168" spans="1:1" x14ac:dyDescent="0.3">
      <c r="A168" t="str">
        <v>kosmopolit</v>
      </c>
    </row>
    <row r="169" spans="1:1" x14ac:dyDescent="0.3">
      <c r="A169" t="str">
        <v>checkmate</v>
      </c>
    </row>
    <row r="170" spans="1:1" x14ac:dyDescent="0.3">
      <c r="A170" t="str">
        <v>grumpypants</v>
      </c>
    </row>
    <row r="171" spans="1:1" x14ac:dyDescent="0.3">
      <c r="A171" t="str">
        <v>madmartigan</v>
      </c>
    </row>
    <row r="172" spans="1:1" x14ac:dyDescent="0.3">
      <c r="A172" t="str">
        <v>notes</v>
      </c>
    </row>
    <row r="173" spans="1:1" x14ac:dyDescent="0.3">
      <c r="A173" t="str">
        <v>ssonney</v>
      </c>
    </row>
    <row r="174" spans="1:1" x14ac:dyDescent="0.3">
      <c r="A174" t="str">
        <v>brotalisdk</v>
      </c>
    </row>
    <row r="175" spans="1:1" x14ac:dyDescent="0.3">
      <c r="A175" t="str">
        <v>karat88</v>
      </c>
    </row>
    <row r="176" spans="1:1" x14ac:dyDescent="0.3">
      <c r="A176" t="str">
        <v>Jakob</v>
      </c>
    </row>
    <row r="177" spans="1:1" x14ac:dyDescent="0.3">
      <c r="A177" t="str">
        <v>DarKnight</v>
      </c>
    </row>
    <row r="178" spans="1:1" x14ac:dyDescent="0.3">
      <c r="A178" t="str">
        <v>Karakiri</v>
      </c>
    </row>
    <row r="179" spans="1:1" x14ac:dyDescent="0.3">
      <c r="A179" t="str">
        <v>Schneemann</v>
      </c>
    </row>
    <row r="180" spans="1:1" x14ac:dyDescent="0.3">
      <c r="A180" t="str">
        <v>CREATION</v>
      </c>
    </row>
    <row r="181" spans="1:1" x14ac:dyDescent="0.3">
      <c r="A181" t="str">
        <v>aureus</v>
      </c>
    </row>
    <row r="182" spans="1:1" x14ac:dyDescent="0.3">
      <c r="A182" t="str">
        <v>fakowee</v>
      </c>
    </row>
    <row r="183" spans="1:1" x14ac:dyDescent="0.3">
      <c r="A183" t="str">
        <v>supercereal</v>
      </c>
    </row>
    <row r="184" spans="1:1" x14ac:dyDescent="0.3">
      <c r="A184" t="str">
        <v>Circa</v>
      </c>
    </row>
    <row r="185" spans="1:1" x14ac:dyDescent="0.3">
      <c r="A185" t="str">
        <v>Radiant</v>
      </c>
    </row>
    <row r="186" spans="1:1" x14ac:dyDescent="0.3">
      <c r="A186" t="str">
        <v>BioBenji</v>
      </c>
    </row>
    <row r="187" spans="1:1" x14ac:dyDescent="0.3">
      <c r="A187" t="str">
        <v>Boxmuncher</v>
      </c>
    </row>
    <row r="188" spans="1:1" x14ac:dyDescent="0.3">
      <c r="A188" t="str">
        <v>EastofEden</v>
      </c>
    </row>
    <row r="189" spans="1:1" x14ac:dyDescent="0.3">
      <c r="A189" t="str">
        <v>yorghul</v>
      </c>
    </row>
    <row r="190" spans="1:1" x14ac:dyDescent="0.3">
      <c r="A190" t="str">
        <v>Pilsner22</v>
      </c>
    </row>
    <row r="191" spans="1:1" x14ac:dyDescent="0.3">
      <c r="A191" t="str">
        <v>Aquarisk</v>
      </c>
    </row>
    <row r="192" spans="1:1" x14ac:dyDescent="0.3">
      <c r="A192" t="str">
        <v>FremderWolf</v>
      </c>
    </row>
    <row r="193" spans="1:1" x14ac:dyDescent="0.3">
      <c r="A193" t="str">
        <v>Freuh</v>
      </c>
    </row>
    <row r="194" spans="1:1" x14ac:dyDescent="0.3">
      <c r="A194" t="str">
        <v>Dedc3</v>
      </c>
    </row>
    <row r="195" spans="1:1" x14ac:dyDescent="0.3">
      <c r="A195" t="str">
        <v>Cokeified</v>
      </c>
    </row>
    <row r="196" spans="1:1" x14ac:dyDescent="0.3">
      <c r="A196" t="str">
        <v>mrham</v>
      </c>
    </row>
    <row r="197" spans="1:1" x14ac:dyDescent="0.3">
      <c r="A197" t="str">
        <v>walfthewolf</v>
      </c>
    </row>
    <row r="198" spans="1:1" x14ac:dyDescent="0.3">
      <c r="A198" t="str">
        <v>lukascz</v>
      </c>
    </row>
    <row r="199" spans="1:1" x14ac:dyDescent="0.3">
      <c r="A199" t="str">
        <v>teachmehow</v>
      </c>
    </row>
    <row r="200" spans="1:1" x14ac:dyDescent="0.3">
      <c r="A200" t="str">
        <v>Happyfeet</v>
      </c>
    </row>
    <row r="201" spans="1:1" x14ac:dyDescent="0.3">
      <c r="A201" t="str">
        <v>TheRedBeard</v>
      </c>
    </row>
    <row r="202" spans="1:1" x14ac:dyDescent="0.3">
      <c r="A202" t="str">
        <v>wmaurer</v>
      </c>
    </row>
    <row r="203" spans="1:1" x14ac:dyDescent="0.3">
      <c r="A203" t="str">
        <v>Fluffy</v>
      </c>
    </row>
    <row r="204" spans="1:1" x14ac:dyDescent="0.3">
      <c r="A204" t="str">
        <v>Schneejager</v>
      </c>
    </row>
    <row r="205" spans="1:1" x14ac:dyDescent="0.3">
      <c r="A205" t="str">
        <v>inwenis</v>
      </c>
    </row>
    <row r="206" spans="1:1" x14ac:dyDescent="0.3">
      <c r="A206" t="str">
        <v>merkz</v>
      </c>
    </row>
    <row r="207" spans="1:1" x14ac:dyDescent="0.3">
      <c r="A207" t="str">
        <v>Recon</v>
      </c>
    </row>
    <row r="208" spans="1:1" x14ac:dyDescent="0.3">
      <c r="A208" t="str">
        <v>buntownik</v>
      </c>
    </row>
    <row r="209" spans="1:1" x14ac:dyDescent="0.3">
      <c r="A209" t="str">
        <v>EvilPenguin</v>
      </c>
    </row>
    <row r="210" spans="1:1" x14ac:dyDescent="0.3">
      <c r="A210" t="str">
        <v>Rocbury</v>
      </c>
    </row>
    <row r="211" spans="1:1" x14ac:dyDescent="0.3">
      <c r="A211" t="str">
        <v>Jeppe</v>
      </c>
    </row>
    <row r="212" spans="1:1" x14ac:dyDescent="0.3">
      <c r="A212" t="str">
        <v>Chaotic</v>
      </c>
    </row>
    <row r="213" spans="1:1" x14ac:dyDescent="0.3">
      <c r="A213" t="str">
        <v>AyyeBreh</v>
      </c>
    </row>
    <row r="214" spans="1:1" x14ac:dyDescent="0.3">
      <c r="A214" t="str">
        <v>Demos</v>
      </c>
    </row>
    <row r="215" spans="1:1" x14ac:dyDescent="0.3">
      <c r="A215" t="str">
        <v>Mansis</v>
      </c>
    </row>
    <row r="216" spans="1:1" x14ac:dyDescent="0.3">
      <c r="A216" t="str">
        <v>Luna</v>
      </c>
    </row>
    <row r="217" spans="1:1" x14ac:dyDescent="0.3">
      <c r="A217" t="str">
        <v>DTS</v>
      </c>
    </row>
    <row r="218" spans="1:1" x14ac:dyDescent="0.3">
      <c r="A218" t="str">
        <v>skyriext</v>
      </c>
    </row>
    <row r="219" spans="1:1" x14ac:dyDescent="0.3">
      <c r="A219" t="str">
        <v>ScarletLord</v>
      </c>
    </row>
    <row r="220" spans="1:1" x14ac:dyDescent="0.3">
      <c r="A220" t="str">
        <v>merton</v>
      </c>
    </row>
    <row r="221" spans="1:1" x14ac:dyDescent="0.3">
      <c r="A221" t="str">
        <v>Wonderscore</v>
      </c>
    </row>
    <row r="222" spans="1:1" x14ac:dyDescent="0.3">
      <c r="A222" t="str">
        <v>HobbitSlayer</v>
      </c>
    </row>
    <row r="223" spans="1:1" x14ac:dyDescent="0.3">
      <c r="A223" t="str">
        <v>Extrahammer</v>
      </c>
    </row>
    <row r="224" spans="1:1" x14ac:dyDescent="0.3">
      <c r="A224" t="str">
        <v>SnoesHusband</v>
      </c>
    </row>
    <row r="225" spans="1:1" x14ac:dyDescent="0.3">
      <c r="A225" t="str">
        <v>Kiva</v>
      </c>
    </row>
    <row r="226" spans="1:1" x14ac:dyDescent="0.3">
      <c r="A226" t="str">
        <v>Scrimshaw</v>
      </c>
    </row>
    <row r="227" spans="1:1" x14ac:dyDescent="0.3">
      <c r="A227" t="str">
        <v>1370H55V</v>
      </c>
    </row>
    <row r="228" spans="1:1" x14ac:dyDescent="0.3">
      <c r="A228" t="str">
        <v>OnoMonte</v>
      </c>
    </row>
    <row r="229" spans="1:1" x14ac:dyDescent="0.3">
      <c r="A229" t="str">
        <v>NeoC0mplex</v>
      </c>
    </row>
    <row r="230" spans="1:1" x14ac:dyDescent="0.3">
      <c r="A230" t="str">
        <v>MallRats</v>
      </c>
    </row>
    <row r="231" spans="1:1" x14ac:dyDescent="0.3">
      <c r="A231" t="str">
        <v>manimalist</v>
      </c>
    </row>
    <row r="232" spans="1:1" x14ac:dyDescent="0.3">
      <c r="A232" t="str">
        <v>Murlockin</v>
      </c>
    </row>
    <row r="233" spans="1:1" x14ac:dyDescent="0.3">
      <c r="A233" t="str">
        <v>Ghost</v>
      </c>
    </row>
    <row r="234" spans="1:1" x14ac:dyDescent="0.3">
      <c r="A234" t="str">
        <v>Redbeard</v>
      </c>
    </row>
    <row r="235" spans="1:1" x14ac:dyDescent="0.3">
      <c r="A235" t="str">
        <v>Trees</v>
      </c>
    </row>
    <row r="236" spans="1:1" x14ac:dyDescent="0.3">
      <c r="A236" t="str">
        <v>Sauc3</v>
      </c>
    </row>
    <row r="237" spans="1:1" x14ac:dyDescent="0.3">
      <c r="A237" t="str">
        <v>Khargoz</v>
      </c>
    </row>
    <row r="238" spans="1:1" x14ac:dyDescent="0.3">
      <c r="A238" t="str">
        <v>Fingolfin</v>
      </c>
    </row>
    <row r="239" spans="1:1" x14ac:dyDescent="0.3">
      <c r="A239" t="str">
        <v>Popcorn</v>
      </c>
    </row>
    <row r="240" spans="1:1" x14ac:dyDescent="0.3">
      <c r="A240" t="str">
        <v>Cadiz</v>
      </c>
    </row>
    <row r="241" spans="1:1" x14ac:dyDescent="0.3">
      <c r="A241" t="str">
        <v>Sylvos</v>
      </c>
    </row>
    <row r="242" spans="1:1" x14ac:dyDescent="0.3">
      <c r="A242" t="str">
        <v>LUCE</v>
      </c>
    </row>
    <row r="243" spans="1:1" x14ac:dyDescent="0.3">
      <c r="A243" t="str">
        <v>ErvwinRommel</v>
      </c>
    </row>
    <row r="244" spans="1:1" x14ac:dyDescent="0.3">
      <c r="A244" t="str">
        <v>Hikimori</v>
      </c>
    </row>
    <row r="245" spans="1:1" x14ac:dyDescent="0.3">
      <c r="A245" t="str">
        <v>Rammsteins</v>
      </c>
    </row>
    <row r="246" spans="1:1" x14ac:dyDescent="0.3">
      <c r="A246" t="str">
        <v>Kron</v>
      </c>
    </row>
    <row r="247" spans="1:1" x14ac:dyDescent="0.3">
      <c r="A247" t="str">
        <v>tbatch</v>
      </c>
    </row>
    <row r="248" spans="1:1" x14ac:dyDescent="0.3">
      <c r="A248" t="str">
        <v>SMHerbs</v>
      </c>
    </row>
    <row r="249" spans="1:1" x14ac:dyDescent="0.3">
      <c r="A249" t="str">
        <v>Wolveren</v>
      </c>
    </row>
    <row r="250" spans="1:1" x14ac:dyDescent="0.3">
      <c r="A250" t="str">
        <v>krampus</v>
      </c>
    </row>
    <row r="251" spans="1:1" x14ac:dyDescent="0.3">
      <c r="A251" t="str">
        <v>Apodyopsis</v>
      </c>
    </row>
    <row r="252" spans="1:1" x14ac:dyDescent="0.3">
      <c r="A252" t="str">
        <v>VaraKana</v>
      </c>
    </row>
    <row r="253" spans="1:1" x14ac:dyDescent="0.3">
      <c r="A253" t="str">
        <v>WeJustPixel</v>
      </c>
    </row>
    <row r="254" spans="1:1" x14ac:dyDescent="0.3">
      <c r="A254" t="str">
        <v>Faker</v>
      </c>
    </row>
    <row r="255" spans="1:1" x14ac:dyDescent="0.3">
      <c r="A255" t="str">
        <v>catrabbit</v>
      </c>
    </row>
    <row r="256" spans="1:1" x14ac:dyDescent="0.3">
      <c r="A256" t="str">
        <v>SleepyJoe</v>
      </c>
    </row>
    <row r="257" spans="1:1" x14ac:dyDescent="0.3">
      <c r="A257" t="str">
        <v>Finwe</v>
      </c>
    </row>
    <row r="258" spans="1:1" x14ac:dyDescent="0.3">
      <c r="A258" t="str">
        <v>BattlePants</v>
      </c>
    </row>
    <row r="259" spans="1:1" x14ac:dyDescent="0.3">
      <c r="A259" t="str">
        <v>bambucha</v>
      </c>
    </row>
    <row r="260" spans="1:1" x14ac:dyDescent="0.3">
      <c r="A260" t="str">
        <v>Vixen</v>
      </c>
    </row>
    <row r="261" spans="1:1" x14ac:dyDescent="0.3">
      <c r="A261" t="str">
        <v>imawesome</v>
      </c>
    </row>
    <row r="262" spans="1:1" x14ac:dyDescent="0.3">
      <c r="A262" t="str">
        <v>Slime</v>
      </c>
    </row>
    <row r="263" spans="1:1" x14ac:dyDescent="0.3">
      <c r="A263" t="str">
        <v>Mokkaiokka</v>
      </c>
    </row>
    <row r="264" spans="1:1" x14ac:dyDescent="0.3">
      <c r="A264" t="str">
        <v>RedBlood3</v>
      </c>
    </row>
    <row r="265" spans="1:1" x14ac:dyDescent="0.3">
      <c r="A265" t="str">
        <v>Walid</v>
      </c>
    </row>
    <row r="266" spans="1:1" x14ac:dyDescent="0.3">
      <c r="A266" t="str">
        <v>MrDrStef</v>
      </c>
    </row>
    <row r="267" spans="1:1" x14ac:dyDescent="0.3">
      <c r="A267" t="str">
        <v>Voljin</v>
      </c>
    </row>
    <row r="268" spans="1:1" x14ac:dyDescent="0.3">
      <c r="A268" t="str">
        <v>inwents</v>
      </c>
    </row>
    <row r="269" spans="1:1" x14ac:dyDescent="0.3">
      <c r="A269" t="str">
        <v>Deens</v>
      </c>
    </row>
    <row r="270" spans="1:1" x14ac:dyDescent="0.3">
      <c r="A270" t="str">
        <v>Strider</v>
      </c>
    </row>
    <row r="271" spans="1:1" x14ac:dyDescent="0.3">
      <c r="A271" t="str">
        <v>Stax</v>
      </c>
    </row>
    <row r="272" spans="1:1" x14ac:dyDescent="0.3">
      <c r="A272" t="str">
        <v>WhiteDeath</v>
      </c>
    </row>
    <row r="273" spans="1:1" x14ac:dyDescent="0.3">
      <c r="A273" t="str">
        <v>Ifeelya</v>
      </c>
    </row>
    <row r="274" spans="1:1" x14ac:dyDescent="0.3">
      <c r="A274" t="str">
        <v>mikeyz7</v>
      </c>
    </row>
    <row r="275" spans="1:1" x14ac:dyDescent="0.3">
      <c r="A275" t="str">
        <v>Ando</v>
      </c>
    </row>
    <row r="276" spans="1:1" x14ac:dyDescent="0.3">
      <c r="A276" t="str">
        <v>Ogun</v>
      </c>
    </row>
    <row r="277" spans="1:1" x14ac:dyDescent="0.3">
      <c r="A277" t="str">
        <v>Nevill</v>
      </c>
    </row>
    <row r="278" spans="1:1" x14ac:dyDescent="0.3">
      <c r="A278" t="str">
        <v>ARTIGOT</v>
      </c>
    </row>
    <row r="279" spans="1:1" x14ac:dyDescent="0.3">
      <c r="A279" t="str">
        <v>kararpvp</v>
      </c>
    </row>
    <row r="280" spans="1:1" x14ac:dyDescent="0.3">
      <c r="A280" t="str">
        <v>Milk</v>
      </c>
    </row>
    <row r="281" spans="1:1" x14ac:dyDescent="0.3">
      <c r="A281" t="str">
        <v>Schatzgoblin</v>
      </c>
    </row>
    <row r="282" spans="1:1" x14ac:dyDescent="0.3">
      <c r="A282" t="str">
        <v>MiniMoto</v>
      </c>
    </row>
    <row r="283" spans="1:1" x14ac:dyDescent="0.3">
      <c r="A283" t="str">
        <v>Xplay2511</v>
      </c>
    </row>
    <row r="284" spans="1:1" x14ac:dyDescent="0.3">
      <c r="A284" t="str">
        <v>Edboii</v>
      </c>
    </row>
    <row r="285" spans="1:1" x14ac:dyDescent="0.3">
      <c r="A285" t="str">
        <v>NoRiskNoFun</v>
      </c>
    </row>
    <row r="286" spans="1:1" x14ac:dyDescent="0.3">
      <c r="A286" t="str">
        <v>ShockZ</v>
      </c>
    </row>
    <row r="287" spans="1:1" x14ac:dyDescent="0.3">
      <c r="A287" t="str">
        <v>QuirkyTurtle</v>
      </c>
    </row>
    <row r="288" spans="1:1" x14ac:dyDescent="0.3">
      <c r="A288" t="str">
        <v>DROP</v>
      </c>
    </row>
    <row r="289" spans="1:1" x14ac:dyDescent="0.3">
      <c r="A289" t="str">
        <v>sdasdas</v>
      </c>
    </row>
    <row r="290" spans="1:1" x14ac:dyDescent="0.3">
      <c r="A290" t="str">
        <v>ReinhartOnly</v>
      </c>
    </row>
    <row r="291" spans="1:1" x14ac:dyDescent="0.3">
      <c r="A291" t="str">
        <v>Neo</v>
      </c>
    </row>
    <row r="292" spans="1:1" x14ac:dyDescent="0.3">
      <c r="A292" t="str">
        <v>Samir</v>
      </c>
    </row>
    <row r="293" spans="1:1" x14ac:dyDescent="0.3">
      <c r="A293" t="str">
        <v>Draeme</v>
      </c>
    </row>
    <row r="294" spans="1:1" x14ac:dyDescent="0.3">
      <c r="A29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5EE2-9B4B-432C-97CD-EB6E3127AC46}">
  <dimension ref="A1:Q326"/>
  <sheetViews>
    <sheetView workbookViewId="0">
      <pane ySplit="1" topLeftCell="A2" activePane="bottomLeft" state="frozen"/>
      <selection pane="bottomLeft" activeCell="D14" sqref="D14"/>
    </sheetView>
  </sheetViews>
  <sheetFormatPr defaultColWidth="9.109375" defaultRowHeight="15" customHeight="1" x14ac:dyDescent="0.3"/>
  <cols>
    <col min="1" max="1" width="32.109375" style="20" customWidth="1"/>
    <col min="2" max="2" width="10.5546875" style="20" customWidth="1"/>
    <col min="3" max="3" width="18.6640625" style="20" customWidth="1"/>
    <col min="4" max="4" width="15.109375" style="20" customWidth="1"/>
    <col min="5" max="5" width="17.88671875" style="20" customWidth="1"/>
    <col min="6" max="6" width="9.88671875" style="20" customWidth="1"/>
    <col min="7" max="7" width="21.33203125" style="20" customWidth="1"/>
    <col min="8" max="8" width="12.6640625" style="20" customWidth="1"/>
    <col min="9" max="9" width="15.6640625" style="20" customWidth="1"/>
    <col min="10" max="10" width="13.109375" style="20" customWidth="1"/>
    <col min="11" max="11" width="15.44140625" style="20" customWidth="1"/>
    <col min="12" max="12" width="15.109375" style="20" bestFit="1" customWidth="1"/>
    <col min="13" max="13" width="9" style="20" customWidth="1"/>
    <col min="14" max="14" width="11" style="20" bestFit="1" customWidth="1"/>
    <col min="15" max="15" width="10.88671875" style="20" bestFit="1" customWidth="1"/>
    <col min="16" max="16" width="9.109375" style="20"/>
    <col min="17" max="17" width="13.5546875" style="20" bestFit="1" customWidth="1"/>
    <col min="18" max="16384" width="9.109375" style="20"/>
  </cols>
  <sheetData>
    <row r="1" spans="1:17" ht="14.4" x14ac:dyDescent="0.3">
      <c r="A1" s="20" t="str">
        <f>'All Players'!A1</f>
        <v>Player</v>
      </c>
      <c r="B1" s="20" t="s">
        <v>500</v>
      </c>
      <c r="C1" s="20" t="s">
        <v>501</v>
      </c>
      <c r="D1" s="20" t="s">
        <v>502</v>
      </c>
      <c r="E1" s="20" t="s">
        <v>503</v>
      </c>
      <c r="F1" s="20" t="s">
        <v>102</v>
      </c>
      <c r="G1" s="20" t="s">
        <v>504</v>
      </c>
      <c r="H1" s="20" t="s">
        <v>505</v>
      </c>
      <c r="I1" s="20" t="s">
        <v>506</v>
      </c>
      <c r="J1" s="20" t="s">
        <v>507</v>
      </c>
      <c r="K1" s="20" t="s">
        <v>508</v>
      </c>
      <c r="L1" s="20" t="s">
        <v>509</v>
      </c>
      <c r="M1" s="20" t="s">
        <v>510</v>
      </c>
      <c r="N1" s="20" t="s">
        <v>511</v>
      </c>
      <c r="O1" s="20" t="s">
        <v>512</v>
      </c>
      <c r="P1" s="20" t="s">
        <v>513</v>
      </c>
      <c r="Q1" s="21">
        <v>43993</v>
      </c>
    </row>
    <row r="2" spans="1:17" ht="14.4" x14ac:dyDescent="0.3">
      <c r="A2" s="20" t="str">
        <f>'All Players'!A2</f>
        <v>SoXu</v>
      </c>
      <c r="B2" s="20">
        <f>COUNTIFS(GameStats!C:C,A2,GameStats!D:D,"1",GameStats!B:B,"&gt;="&amp;$Q$1)</f>
        <v>9</v>
      </c>
      <c r="C2" s="20">
        <f>COUNTIFS(GameStats!C:C,A2,GameStats!B:B,"&gt;="&amp;$Q$1)</f>
        <v>26</v>
      </c>
      <c r="D2" s="22">
        <f t="shared" ref="D2:D65" si="0">B2/C2</f>
        <v>0.34615384615384615</v>
      </c>
      <c r="E2" s="31">
        <f>SUMIFS(GameStats!D:D,GameStats!C:C,A2,GameStats!B:B,"&gt;="&amp;$Q$1)/C2</f>
        <v>5.7692307692307692</v>
      </c>
      <c r="F2" s="32">
        <f t="shared" ref="F2:F65" si="1">H2/I2</f>
        <v>1.183703132816831</v>
      </c>
      <c r="G2" s="20">
        <f>COUNTIFS(GameStats!I:I,A2,GameStats!B:B,"&gt;="&amp;$Q$1)</f>
        <v>47</v>
      </c>
      <c r="H2" s="33">
        <f>SUMIFS(GameStats!F:F,GameStats!C:C,A2,GameStats!B:B,"&gt;="&amp;$Q$1)</f>
        <v>175091</v>
      </c>
      <c r="I2" s="33">
        <f>SUMIFS(GameStats!G:G,GameStats!C:C,A2,GameStats!B:B,"&gt;="&amp;$Q$1)</f>
        <v>147918</v>
      </c>
      <c r="J2" s="33">
        <f t="shared" ref="J2:J65" si="2">H2/C2</f>
        <v>6734.2692307692305</v>
      </c>
      <c r="K2" s="33">
        <f t="shared" ref="K2:K65" si="3">I2/C2</f>
        <v>5689.1538461538457</v>
      </c>
      <c r="L2" s="32">
        <f t="shared" ref="L2:L65" si="4">G2/C2</f>
        <v>1.8076923076923077</v>
      </c>
      <c r="M2" s="29">
        <f>('Elo model'!$E$14*PlayerStats!D2) + ('Elo model'!$F$14*(1/PlayerStats!E2)) + ('Elo model'!$G$14*PlayerStats!F2) + ('Elo model'!$H$14*(PlayerStats!L2/4))</f>
        <v>0.43915803402508874</v>
      </c>
      <c r="N2" s="21">
        <f>_xlfn.MINIFS(GameStats!B:B,GameStats!C:C,A2)</f>
        <v>44967</v>
      </c>
      <c r="O2" s="21">
        <f>_xlfn.MAXIFS(GameStats!B:B,GameStats!C:C,A2)</f>
        <v>45569</v>
      </c>
      <c r="P2" t="b">
        <f t="shared" ref="P2:P65" si="5">IF(O2&gt;$Q$1,TRUE)</f>
        <v>1</v>
      </c>
      <c r="Q2"/>
    </row>
    <row r="3" spans="1:17" customFormat="1" ht="14.4" x14ac:dyDescent="0.3">
      <c r="A3" s="20" t="str">
        <f>'All Players'!A128</f>
        <v>harakiri</v>
      </c>
      <c r="B3" s="20">
        <f>COUNTIFS(GameStats!C:C,A3,GameStats!D:D,"1",GameStats!B:B,"&gt;="&amp;$Q$1)</f>
        <v>0</v>
      </c>
      <c r="C3" s="20">
        <f>COUNTIFS(GameStats!C:C,A3,GameStats!B:B,"&gt;="&amp;$Q$1)</f>
        <v>25</v>
      </c>
      <c r="D3" s="22">
        <f t="shared" si="0"/>
        <v>0</v>
      </c>
      <c r="E3" s="31">
        <f>SUMIFS(GameStats!D:D,GameStats!C:C,A3,GameStats!B:B,"&gt;="&amp;$Q$1)/C3</f>
        <v>12.2</v>
      </c>
      <c r="F3" s="32">
        <f t="shared" si="1"/>
        <v>1.0107274660661787</v>
      </c>
      <c r="G3" s="20">
        <f>COUNTIFS(GameStats!I:I,A3,GameStats!B:B,"&gt;="&amp;$Q$1)</f>
        <v>15</v>
      </c>
      <c r="H3" s="33">
        <f>SUMIFS(GameStats!F:F,GameStats!C:C,A3,GameStats!B:B,"&gt;="&amp;$Q$1)</f>
        <v>32317</v>
      </c>
      <c r="I3" s="33">
        <f>SUMIFS(GameStats!G:G,GameStats!C:C,A3,GameStats!B:B,"&gt;="&amp;$Q$1)</f>
        <v>31974</v>
      </c>
      <c r="J3" s="33">
        <f t="shared" si="2"/>
        <v>1292.68</v>
      </c>
      <c r="K3" s="33">
        <f t="shared" si="3"/>
        <v>1278.96</v>
      </c>
      <c r="L3" s="32">
        <f t="shared" si="4"/>
        <v>0.6</v>
      </c>
      <c r="M3" s="29">
        <f>('Elo model'!$E$14*PlayerStats!D128) + ('Elo model'!$F$14*(1/PlayerStats!E128)) + ('Elo model'!$G$14*(PlayerStats!F128/1.75)) + ('Elo model'!$H$14*(PlayerStats!L128/4))</f>
        <v>0.15221543162719633</v>
      </c>
      <c r="N3" s="21">
        <f>_xlfn.MINIFS(GameStats!B:B,GameStats!C:C,A3)</f>
        <v>45366</v>
      </c>
      <c r="O3" s="21">
        <f>_xlfn.MAXIFS(GameStats!B:B,GameStats!C:C,A3)</f>
        <v>45562</v>
      </c>
      <c r="P3" t="b">
        <f t="shared" si="5"/>
        <v>1</v>
      </c>
      <c r="Q3" s="20"/>
    </row>
    <row r="4" spans="1:17" customFormat="1" ht="14.4" x14ac:dyDescent="0.3">
      <c r="A4" s="20" t="str">
        <f>'All Players'!A6</f>
        <v>xFreshNeZz</v>
      </c>
      <c r="B4" s="20">
        <f>COUNTIFS(GameStats!C:C,A4,GameStats!D:D,"1",GameStats!B:B,"&gt;="&amp;$Q$1)</f>
        <v>1</v>
      </c>
      <c r="C4" s="20">
        <f>COUNTIFS(GameStats!C:C,A4,GameStats!B:B,"&gt;="&amp;$Q$1)</f>
        <v>23</v>
      </c>
      <c r="D4" s="22">
        <f t="shared" si="0"/>
        <v>4.3478260869565216E-2</v>
      </c>
      <c r="E4" s="31">
        <f>SUMIFS(GameStats!D:D,GameStats!C:C,A4,GameStats!B:B,"&gt;="&amp;$Q$1)/C4</f>
        <v>8.2173913043478262</v>
      </c>
      <c r="F4" s="32">
        <f t="shared" si="1"/>
        <v>1.0788081566216032</v>
      </c>
      <c r="G4" s="20">
        <f>COUNTIFS(GameStats!I:I,A4,GameStats!B:B,"&gt;="&amp;$Q$1)</f>
        <v>16</v>
      </c>
      <c r="H4" s="33">
        <f>SUMIFS(GameStats!F:F,GameStats!C:C,A4,GameStats!B:B,"&gt;="&amp;$Q$1)</f>
        <v>47720</v>
      </c>
      <c r="I4" s="33">
        <f>SUMIFS(GameStats!G:G,GameStats!C:C,A4,GameStats!B:B,"&gt;="&amp;$Q$1)</f>
        <v>44234</v>
      </c>
      <c r="J4" s="33">
        <f t="shared" si="2"/>
        <v>2074.782608695652</v>
      </c>
      <c r="K4" s="33">
        <f t="shared" si="3"/>
        <v>1923.2173913043478</v>
      </c>
      <c r="L4" s="32">
        <f t="shared" si="4"/>
        <v>0.69565217391304346</v>
      </c>
      <c r="M4" s="29">
        <f>('Elo model'!$E$14*PlayerStats!D6) + ('Elo model'!$F$14*(1/PlayerStats!E6)) + ('Elo model'!$G$14*(PlayerStats!F6/1.75)) + ('Elo model'!$H$14*(PlayerStats!L6/4))</f>
        <v>0.13720123087259067</v>
      </c>
      <c r="N4" s="21">
        <f>_xlfn.MINIFS(GameStats!B:B,GameStats!C:C,A4)</f>
        <v>44967</v>
      </c>
      <c r="O4" s="21">
        <f>_xlfn.MAXIFS(GameStats!B:B,GameStats!C:C,A4)</f>
        <v>45569</v>
      </c>
      <c r="P4" t="b">
        <f t="shared" si="5"/>
        <v>1</v>
      </c>
    </row>
    <row r="5" spans="1:17" ht="14.4" x14ac:dyDescent="0.3">
      <c r="A5" s="20" t="str">
        <f>'All Players'!A123</f>
        <v>msciworld</v>
      </c>
      <c r="B5" s="20">
        <f>COUNTIFS(GameStats!C:C,A5,GameStats!D:D,"1",GameStats!B:B,"&gt;="&amp;$Q$1)</f>
        <v>5</v>
      </c>
      <c r="C5" s="20">
        <f>COUNTIFS(GameStats!C:C,A5,GameStats!B:B,"&gt;="&amp;$Q$1)</f>
        <v>22</v>
      </c>
      <c r="D5" s="22">
        <f t="shared" si="0"/>
        <v>0.22727272727272727</v>
      </c>
      <c r="E5" s="31">
        <f>SUMIFS(GameStats!D:D,GameStats!C:C,A5,GameStats!B:B,"&gt;="&amp;$Q$1)/C5</f>
        <v>2.7727272727272729</v>
      </c>
      <c r="F5" s="32">
        <f t="shared" si="1"/>
        <v>1.0774338819290918</v>
      </c>
      <c r="G5" s="20">
        <f>COUNTIFS(GameStats!I:I,A5,GameStats!B:B,"&gt;="&amp;$Q$1)</f>
        <v>86</v>
      </c>
      <c r="H5" s="33">
        <f>SUMIFS(GameStats!F:F,GameStats!C:C,A5,GameStats!B:B,"&gt;="&amp;$Q$1)</f>
        <v>263174</v>
      </c>
      <c r="I5" s="33">
        <f>SUMIFS(GameStats!G:G,GameStats!C:C,A5,GameStats!B:B,"&gt;="&amp;$Q$1)</f>
        <v>244260</v>
      </c>
      <c r="J5" s="33">
        <f t="shared" si="2"/>
        <v>11962.454545454546</v>
      </c>
      <c r="K5" s="33">
        <f t="shared" si="3"/>
        <v>11102.727272727272</v>
      </c>
      <c r="L5" s="32">
        <f t="shared" si="4"/>
        <v>3.9090909090909092</v>
      </c>
      <c r="M5" s="29">
        <f>('Elo model'!$E$14*PlayerStats!D123) + ('Elo model'!$F$14*(1/PlayerStats!E123)) + ('Elo model'!$G$14*(PlayerStats!F123/1.75)) + ('Elo model'!$H$14*(PlayerStats!L123/4))</f>
        <v>0.19207261397494635</v>
      </c>
      <c r="N5" s="21">
        <f>_xlfn.MINIFS(GameStats!B:B,GameStats!C:C,A5)</f>
        <v>45366</v>
      </c>
      <c r="O5" s="21">
        <f>_xlfn.MAXIFS(GameStats!B:B,GameStats!C:C,A5)</f>
        <v>45569</v>
      </c>
      <c r="P5" t="b">
        <f t="shared" si="5"/>
        <v>1</v>
      </c>
      <c r="Q5"/>
    </row>
    <row r="6" spans="1:17" customFormat="1" ht="14.4" x14ac:dyDescent="0.3">
      <c r="A6" s="20" t="str">
        <f>'All Players'!A22</f>
        <v>Powerstroke1</v>
      </c>
      <c r="B6" s="20">
        <f>COUNTIFS(GameStats!C:C,A6,GameStats!D:D,"1",GameStats!B:B,"&gt;="&amp;$Q$1)</f>
        <v>1</v>
      </c>
      <c r="C6" s="20">
        <f>COUNTIFS(GameStats!C:C,A6,GameStats!B:B,"&gt;="&amp;$Q$1)</f>
        <v>20</v>
      </c>
      <c r="D6" s="22">
        <f t="shared" si="0"/>
        <v>0.05</v>
      </c>
      <c r="E6" s="31">
        <f>SUMIFS(GameStats!D:D,GameStats!C:C,A6,GameStats!B:B,"&gt;="&amp;$Q$1)/C6</f>
        <v>13.55</v>
      </c>
      <c r="F6" s="32">
        <f t="shared" si="1"/>
        <v>0.90417887432536626</v>
      </c>
      <c r="G6" s="20">
        <f>COUNTIFS(GameStats!I:I,A6,GameStats!B:B,"&gt;="&amp;$Q$1)</f>
        <v>13</v>
      </c>
      <c r="H6" s="33">
        <f>SUMIFS(GameStats!F:F,GameStats!C:C,A6,GameStats!B:B,"&gt;="&amp;$Q$1)</f>
        <v>29318</v>
      </c>
      <c r="I6" s="33">
        <f>SUMIFS(GameStats!G:G,GameStats!C:C,A6,GameStats!B:B,"&gt;="&amp;$Q$1)</f>
        <v>32425</v>
      </c>
      <c r="J6" s="33">
        <f t="shared" si="2"/>
        <v>1465.9</v>
      </c>
      <c r="K6" s="33">
        <f t="shared" si="3"/>
        <v>1621.25</v>
      </c>
      <c r="L6" s="32">
        <f t="shared" si="4"/>
        <v>0.65</v>
      </c>
      <c r="M6" s="29">
        <f>('Elo model'!$E$14*PlayerStats!D22) + ('Elo model'!$F$14*(1/PlayerStats!E22)) + ('Elo model'!$G$14*PlayerStats!F22) + ('Elo model'!$H$14*(PlayerStats!L22/4))</f>
        <v>0.31536873731477755</v>
      </c>
      <c r="N6" s="21">
        <f>_xlfn.MINIFS(GameStats!B:B,GameStats!C:C,A6)</f>
        <v>44967</v>
      </c>
      <c r="O6" s="21">
        <f>_xlfn.MAXIFS(GameStats!B:B,GameStats!C:C,A6)</f>
        <v>45569</v>
      </c>
      <c r="P6" t="b">
        <f t="shared" si="5"/>
        <v>1</v>
      </c>
    </row>
    <row r="7" spans="1:17" customFormat="1" ht="14.4" x14ac:dyDescent="0.3">
      <c r="A7" s="20" t="str">
        <f>'All Players'!A5</f>
        <v>Nightmare91</v>
      </c>
      <c r="B7" s="20">
        <f>COUNTIFS(GameStats!C:C,A7,GameStats!D:D,"1",GameStats!B:B,"&gt;="&amp;$Q$1)</f>
        <v>0</v>
      </c>
      <c r="C7" s="20">
        <f>COUNTIFS(GameStats!C:C,A7,GameStats!B:B,"&gt;="&amp;$Q$1)</f>
        <v>18</v>
      </c>
      <c r="D7" s="22">
        <f t="shared" si="0"/>
        <v>0</v>
      </c>
      <c r="E7" s="31">
        <f>SUMIFS(GameStats!D:D,GameStats!C:C,A7,GameStats!B:B,"&gt;="&amp;$Q$1)/C7</f>
        <v>9.2222222222222214</v>
      </c>
      <c r="F7" s="32">
        <f t="shared" si="1"/>
        <v>0.93698154731674288</v>
      </c>
      <c r="G7" s="20">
        <f>COUNTIFS(GameStats!I:I,A7,GameStats!B:B,"&gt;="&amp;$Q$1)</f>
        <v>16</v>
      </c>
      <c r="H7" s="33">
        <f>SUMIFS(GameStats!F:F,GameStats!C:C,A7,GameStats!B:B,"&gt;="&amp;$Q$1)</f>
        <v>66417</v>
      </c>
      <c r="I7" s="33">
        <f>SUMIFS(GameStats!G:G,GameStats!C:C,A7,GameStats!B:B,"&gt;="&amp;$Q$1)</f>
        <v>70884</v>
      </c>
      <c r="J7" s="33">
        <f t="shared" si="2"/>
        <v>3689.8333333333335</v>
      </c>
      <c r="K7" s="33">
        <f t="shared" si="3"/>
        <v>3938</v>
      </c>
      <c r="L7" s="32">
        <f t="shared" si="4"/>
        <v>0.88888888888888884</v>
      </c>
      <c r="M7" s="29">
        <f>('Elo model'!$E$14*PlayerStats!D5) + ('Elo model'!$F$14*(1/PlayerStats!E5)) + ('Elo model'!$G$14*PlayerStats!F5) + ('Elo model'!$H$14*(PlayerStats!L5/4))</f>
        <v>0.46314265307922964</v>
      </c>
      <c r="N7" s="21">
        <f>_xlfn.MINIFS(GameStats!B:B,GameStats!C:C,A7)</f>
        <v>44967</v>
      </c>
      <c r="O7" s="21">
        <f>_xlfn.MAXIFS(GameStats!B:B,GameStats!C:C,A7)</f>
        <v>45569</v>
      </c>
      <c r="P7" t="b">
        <f t="shared" si="5"/>
        <v>1</v>
      </c>
    </row>
    <row r="8" spans="1:17" customFormat="1" ht="14.4" x14ac:dyDescent="0.3">
      <c r="A8" s="20" t="str">
        <f>'All Players'!A56</f>
        <v>Taptheslap</v>
      </c>
      <c r="B8" s="20">
        <f>COUNTIFS(GameStats!C:C,A8,GameStats!D:D,"1",GameStats!B:B,"&gt;="&amp;$Q$1)</f>
        <v>2</v>
      </c>
      <c r="C8" s="20">
        <f>COUNTIFS(GameStats!C:C,A8,GameStats!B:B,"&gt;="&amp;$Q$1)</f>
        <v>17</v>
      </c>
      <c r="D8" s="22">
        <f t="shared" si="0"/>
        <v>0.11764705882352941</v>
      </c>
      <c r="E8" s="31">
        <f>SUMIFS(GameStats!D:D,GameStats!C:C,A8,GameStats!B:B,"&gt;="&amp;$Q$1)/C8</f>
        <v>9.8235294117647065</v>
      </c>
      <c r="F8" s="32">
        <f t="shared" si="1"/>
        <v>1.2136460914620411</v>
      </c>
      <c r="G8" s="20">
        <f>COUNTIFS(GameStats!I:I,A8,GameStats!B:B,"&gt;="&amp;$Q$1)</f>
        <v>15</v>
      </c>
      <c r="H8" s="33">
        <f>SUMIFS(GameStats!F:F,GameStats!C:C,A8,GameStats!B:B,"&gt;="&amp;$Q$1)</f>
        <v>43099</v>
      </c>
      <c r="I8" s="33">
        <f>SUMIFS(GameStats!G:G,GameStats!C:C,A8,GameStats!B:B,"&gt;="&amp;$Q$1)</f>
        <v>35512</v>
      </c>
      <c r="J8" s="33">
        <f t="shared" si="2"/>
        <v>2535.2352941176468</v>
      </c>
      <c r="K8" s="33">
        <f t="shared" si="3"/>
        <v>2088.9411764705883</v>
      </c>
      <c r="L8" s="32">
        <f t="shared" si="4"/>
        <v>0.88235294117647056</v>
      </c>
      <c r="M8" s="29">
        <f>('Elo model'!$E$14*PlayerStats!D56) + ('Elo model'!$F$14*(1/PlayerStats!E56)) + ('Elo model'!$G$14*PlayerStats!F56) + ('Elo model'!$H$14*(PlayerStats!L56/4))</f>
        <v>9.9507785739107402E-2</v>
      </c>
      <c r="N8" s="21">
        <f>_xlfn.MINIFS(GameStats!B:B,GameStats!C:C,A8)</f>
        <v>44995</v>
      </c>
      <c r="O8" s="21">
        <f>_xlfn.MAXIFS(GameStats!B:B,GameStats!C:C,A8)</f>
        <v>45562</v>
      </c>
      <c r="P8" t="b">
        <f t="shared" si="5"/>
        <v>1</v>
      </c>
    </row>
    <row r="9" spans="1:17" customFormat="1" ht="14.4" x14ac:dyDescent="0.3">
      <c r="A9" s="20" t="str">
        <f>'All Players'!A27</f>
        <v>easterbunny</v>
      </c>
      <c r="B9" s="20">
        <f>COUNTIFS(GameStats!C:C,A9,GameStats!D:D,"1",GameStats!B:B,"&gt;="&amp;$Q$1)</f>
        <v>2</v>
      </c>
      <c r="C9" s="20">
        <f>COUNTIFS(GameStats!C:C,A9,GameStats!B:B,"&gt;="&amp;$Q$1)</f>
        <v>17</v>
      </c>
      <c r="D9" s="22">
        <f t="shared" si="0"/>
        <v>0.11764705882352941</v>
      </c>
      <c r="E9" s="31">
        <f>SUMIFS(GameStats!D:D,GameStats!C:C,A9,GameStats!B:B,"&gt;="&amp;$Q$1)/C9</f>
        <v>9.8235294117647065</v>
      </c>
      <c r="F9" s="32">
        <f t="shared" si="1"/>
        <v>1.1480879292403745</v>
      </c>
      <c r="G9" s="20">
        <f>COUNTIFS(GameStats!I:I,A9,GameStats!B:B,"&gt;="&amp;$Q$1)</f>
        <v>22</v>
      </c>
      <c r="H9" s="33">
        <f>SUMIFS(GameStats!F:F,GameStats!C:C,A9,GameStats!B:B,"&gt;="&amp;$Q$1)</f>
        <v>52959</v>
      </c>
      <c r="I9" s="33">
        <f>SUMIFS(GameStats!G:G,GameStats!C:C,A9,GameStats!B:B,"&gt;="&amp;$Q$1)</f>
        <v>46128</v>
      </c>
      <c r="J9" s="33">
        <f t="shared" si="2"/>
        <v>3115.2352941176468</v>
      </c>
      <c r="K9" s="33">
        <f t="shared" si="3"/>
        <v>2713.4117647058824</v>
      </c>
      <c r="L9" s="32">
        <f t="shared" si="4"/>
        <v>1.2941176470588236</v>
      </c>
      <c r="M9" s="29">
        <f>('Elo model'!$E$14*PlayerStats!D27) + ('Elo model'!$F$14*(1/PlayerStats!E27)) + ('Elo model'!$G$14*PlayerStats!F27) + ('Elo model'!$H$14*(PlayerStats!L27/4))</f>
        <v>0.18038183158380844</v>
      </c>
      <c r="N9" s="21">
        <f>_xlfn.MINIFS(GameStats!B:B,GameStats!C:C,A9)</f>
        <v>44974</v>
      </c>
      <c r="O9" s="21">
        <f>_xlfn.MAXIFS(GameStats!B:B,GameStats!C:C,A9)</f>
        <v>45569</v>
      </c>
      <c r="P9" t="b">
        <f t="shared" si="5"/>
        <v>1</v>
      </c>
    </row>
    <row r="10" spans="1:17" customFormat="1" ht="14.4" x14ac:dyDescent="0.3">
      <c r="A10" s="20" t="str">
        <f>'All Players'!A26</f>
        <v>Derreger420</v>
      </c>
      <c r="B10" s="20">
        <f>COUNTIFS(GameStats!C:C,A10,GameStats!D:D,"1",GameStats!B:B,"&gt;="&amp;$Q$1)</f>
        <v>0</v>
      </c>
      <c r="C10" s="20">
        <f>COUNTIFS(GameStats!C:C,A10,GameStats!B:B,"&gt;="&amp;$Q$1)</f>
        <v>17</v>
      </c>
      <c r="D10" s="22">
        <f t="shared" si="0"/>
        <v>0</v>
      </c>
      <c r="E10" s="31">
        <f>SUMIFS(GameStats!D:D,GameStats!C:C,A10,GameStats!B:B,"&gt;="&amp;$Q$1)/C10</f>
        <v>11.294117647058824</v>
      </c>
      <c r="F10" s="32">
        <f t="shared" si="1"/>
        <v>0.90188099113763787</v>
      </c>
      <c r="G10" s="20">
        <f>COUNTIFS(GameStats!I:I,A10,GameStats!B:B,"&gt;="&amp;$Q$1)</f>
        <v>9</v>
      </c>
      <c r="H10" s="33">
        <f>SUMIFS(GameStats!F:F,GameStats!C:C,A10,GameStats!B:B,"&gt;="&amp;$Q$1)</f>
        <v>29919</v>
      </c>
      <c r="I10" s="33">
        <f>SUMIFS(GameStats!G:G,GameStats!C:C,A10,GameStats!B:B,"&gt;="&amp;$Q$1)</f>
        <v>33174</v>
      </c>
      <c r="J10" s="33">
        <f t="shared" si="2"/>
        <v>1759.9411764705883</v>
      </c>
      <c r="K10" s="33">
        <f t="shared" si="3"/>
        <v>1951.4117647058824</v>
      </c>
      <c r="L10" s="32">
        <f t="shared" si="4"/>
        <v>0.52941176470588236</v>
      </c>
      <c r="M10" s="29">
        <f>('Elo model'!$E$14*PlayerStats!D26) + ('Elo model'!$F$14*(1/PlayerStats!E26)) + ('Elo model'!$G$14*PlayerStats!F26) + ('Elo model'!$H$14*(PlayerStats!L26/4))</f>
        <v>0.32638611431254533</v>
      </c>
      <c r="N10" s="21">
        <f>_xlfn.MINIFS(GameStats!B:B,GameStats!C:C,A10)</f>
        <v>44974</v>
      </c>
      <c r="O10" s="21">
        <f>_xlfn.MAXIFS(GameStats!B:B,GameStats!C:C,A10)</f>
        <v>45569</v>
      </c>
      <c r="P10" t="b">
        <f t="shared" si="5"/>
        <v>1</v>
      </c>
    </row>
    <row r="11" spans="1:17" customFormat="1" ht="14.4" x14ac:dyDescent="0.3">
      <c r="A11" s="20" t="str">
        <f>'All Players'!A12</f>
        <v>Trusty</v>
      </c>
      <c r="B11" s="20">
        <f>COUNTIFS(GameStats!C:C,A11,GameStats!D:D,"1",GameStats!B:B,"&gt;="&amp;$Q$1)</f>
        <v>0</v>
      </c>
      <c r="C11" s="20">
        <f>COUNTIFS(GameStats!C:C,A11,GameStats!B:B,"&gt;="&amp;$Q$1)</f>
        <v>15</v>
      </c>
      <c r="D11" s="22">
        <f t="shared" si="0"/>
        <v>0</v>
      </c>
      <c r="E11" s="31">
        <f>SUMIFS(GameStats!D:D,GameStats!C:C,A11,GameStats!B:B,"&gt;="&amp;$Q$1)/C11</f>
        <v>10.266666666666667</v>
      </c>
      <c r="F11" s="32">
        <f t="shared" si="1"/>
        <v>0.99312173696859207</v>
      </c>
      <c r="G11" s="20">
        <f>COUNTIFS(GameStats!I:I,A11,GameStats!B:B,"&gt;="&amp;$Q$1)</f>
        <v>5</v>
      </c>
      <c r="H11" s="33">
        <f>SUMIFS(GameStats!F:F,GameStats!C:C,A11,GameStats!B:B,"&gt;="&amp;$Q$1)</f>
        <v>11984</v>
      </c>
      <c r="I11" s="33">
        <f>SUMIFS(GameStats!G:G,GameStats!C:C,A11,GameStats!B:B,"&gt;="&amp;$Q$1)</f>
        <v>12067</v>
      </c>
      <c r="J11" s="33">
        <f t="shared" si="2"/>
        <v>798.93333333333328</v>
      </c>
      <c r="K11" s="33">
        <f t="shared" si="3"/>
        <v>804.4666666666667</v>
      </c>
      <c r="L11" s="32">
        <f t="shared" si="4"/>
        <v>0.33333333333333331</v>
      </c>
      <c r="M11" s="29">
        <f>('Elo model'!$E$14*PlayerStats!D12) + ('Elo model'!$F$14*(1/PlayerStats!E12)) + ('Elo model'!$G$14*PlayerStats!F12) + ('Elo model'!$H$14*(PlayerStats!L12/4))</f>
        <v>0.14810724485478555</v>
      </c>
      <c r="N11" s="21">
        <f>_xlfn.MINIFS(GameStats!B:B,GameStats!C:C,A11)</f>
        <v>44967</v>
      </c>
      <c r="O11" s="21">
        <f>_xlfn.MAXIFS(GameStats!B:B,GameStats!C:C,A11)</f>
        <v>45569</v>
      </c>
      <c r="P11" t="b">
        <f t="shared" si="5"/>
        <v>1</v>
      </c>
    </row>
    <row r="12" spans="1:17" ht="14.4" x14ac:dyDescent="0.3">
      <c r="A12" s="20" t="str">
        <f>'All Players'!A115</f>
        <v>Chaos</v>
      </c>
      <c r="B12" s="20">
        <f>COUNTIFS(GameStats!C:C,A12,GameStats!D:D,"1",GameStats!B:B,"&gt;="&amp;$Q$1)</f>
        <v>0</v>
      </c>
      <c r="C12" s="20">
        <f>COUNTIFS(GameStats!C:C,A12,GameStats!B:B,"&gt;="&amp;$Q$1)</f>
        <v>14</v>
      </c>
      <c r="D12" s="22">
        <f t="shared" si="0"/>
        <v>0</v>
      </c>
      <c r="E12" s="31">
        <f>SUMIFS(GameStats!D:D,GameStats!C:C,A12,GameStats!B:B,"&gt;="&amp;$Q$1)/C12</f>
        <v>11.642857142857142</v>
      </c>
      <c r="F12" s="32">
        <f t="shared" si="1"/>
        <v>0.83232758620689651</v>
      </c>
      <c r="G12" s="20">
        <f>COUNTIFS(GameStats!I:I,A12,GameStats!B:B,"&gt;="&amp;$Q$1)</f>
        <v>1</v>
      </c>
      <c r="H12" s="33">
        <f>SUMIFS(GameStats!F:F,GameStats!C:C,A12,GameStats!B:B,"&gt;="&amp;$Q$1)</f>
        <v>9655</v>
      </c>
      <c r="I12" s="33">
        <f>SUMIFS(GameStats!G:G,GameStats!C:C,A12,GameStats!B:B,"&gt;="&amp;$Q$1)</f>
        <v>11600</v>
      </c>
      <c r="J12" s="33">
        <f t="shared" si="2"/>
        <v>689.64285714285711</v>
      </c>
      <c r="K12" s="33">
        <f t="shared" si="3"/>
        <v>828.57142857142856</v>
      </c>
      <c r="L12" s="32">
        <f t="shared" si="4"/>
        <v>7.1428571428571425E-2</v>
      </c>
      <c r="M12" s="29">
        <f>('Elo model'!$E$14*PlayerStats!D115) + ('Elo model'!$F$14*(1/PlayerStats!E115)) + ('Elo model'!$G$14*(PlayerStats!F115/1.75)) + ('Elo model'!$H$14*(PlayerStats!L115/4))</f>
        <v>4.6831988609397246E-2</v>
      </c>
      <c r="N12" s="21">
        <f>_xlfn.MINIFS(GameStats!B:B,GameStats!C:C,A12)</f>
        <v>45044</v>
      </c>
      <c r="O12" s="21">
        <f>_xlfn.MAXIFS(GameStats!B:B,GameStats!C:C,A12)</f>
        <v>45555</v>
      </c>
      <c r="P12" t="b">
        <f t="shared" si="5"/>
        <v>1</v>
      </c>
      <c r="Q12"/>
    </row>
    <row r="13" spans="1:17" customFormat="1" ht="14.4" x14ac:dyDescent="0.3">
      <c r="A13" s="20" t="str">
        <f>'All Players'!A37</f>
        <v>MinaMoto</v>
      </c>
      <c r="B13" s="20">
        <f>COUNTIFS(GameStats!C:C,A13,GameStats!D:D,"1",GameStats!B:B,"&gt;="&amp;$Q$1)</f>
        <v>2</v>
      </c>
      <c r="C13" s="20">
        <f>COUNTIFS(GameStats!C:C,A13,GameStats!B:B,"&gt;="&amp;$Q$1)</f>
        <v>13</v>
      </c>
      <c r="D13" s="22">
        <f t="shared" si="0"/>
        <v>0.15384615384615385</v>
      </c>
      <c r="E13" s="31">
        <f>SUMIFS(GameStats!D:D,GameStats!C:C,A13,GameStats!B:B,"&gt;="&amp;$Q$1)/C13</f>
        <v>5.6923076923076925</v>
      </c>
      <c r="F13" s="32">
        <f t="shared" si="1"/>
        <v>1.1605746821252618</v>
      </c>
      <c r="G13" s="20">
        <f>COUNTIFS(GameStats!I:I,A13,GameStats!B:B,"&gt;="&amp;$Q$1)</f>
        <v>17</v>
      </c>
      <c r="H13" s="33">
        <f>SUMIFS(GameStats!F:F,GameStats!C:C,A13,GameStats!B:B,"&gt;="&amp;$Q$1)</f>
        <v>39340</v>
      </c>
      <c r="I13" s="33">
        <f>SUMIFS(GameStats!G:G,GameStats!C:C,A13,GameStats!B:B,"&gt;="&amp;$Q$1)</f>
        <v>33897</v>
      </c>
      <c r="J13" s="33">
        <f t="shared" si="2"/>
        <v>3026.1538461538462</v>
      </c>
      <c r="K13" s="33">
        <f t="shared" si="3"/>
        <v>2607.4615384615386</v>
      </c>
      <c r="L13" s="32">
        <f t="shared" si="4"/>
        <v>1.3076923076923077</v>
      </c>
      <c r="M13" s="29">
        <f>('Elo model'!$E$14*PlayerStats!D37) + ('Elo model'!$F$14*(1/PlayerStats!E37)) + ('Elo model'!$G$14*PlayerStats!F37) + ('Elo model'!$H$14*(PlayerStats!L37/4))</f>
        <v>0.27155207763805356</v>
      </c>
      <c r="N13" s="21">
        <f>_xlfn.MINIFS(GameStats!B:B,GameStats!C:C,A13)</f>
        <v>44988</v>
      </c>
      <c r="O13" s="21">
        <f>_xlfn.MAXIFS(GameStats!B:B,GameStats!C:C,A13)</f>
        <v>45562</v>
      </c>
      <c r="P13" t="b">
        <f t="shared" si="5"/>
        <v>1</v>
      </c>
    </row>
    <row r="14" spans="1:17" customFormat="1" ht="14.4" x14ac:dyDescent="0.3">
      <c r="A14" s="20" t="str">
        <f>'All Players'!A90</f>
        <v>Smoko21</v>
      </c>
      <c r="B14" s="20">
        <f>COUNTIFS(GameStats!C:C,A14,GameStats!D:D,"1",GameStats!B:B,"&gt;="&amp;$Q$1)</f>
        <v>0</v>
      </c>
      <c r="C14" s="20">
        <f>COUNTIFS(GameStats!C:C,A14,GameStats!B:B,"&gt;="&amp;$Q$1)</f>
        <v>13</v>
      </c>
      <c r="D14" s="22">
        <f t="shared" si="0"/>
        <v>0</v>
      </c>
      <c r="E14" s="31">
        <f>SUMIFS(GameStats!D:D,GameStats!C:C,A14,GameStats!B:B,"&gt;="&amp;$Q$1)/C14</f>
        <v>7.9230769230769234</v>
      </c>
      <c r="F14" s="32">
        <f t="shared" si="1"/>
        <v>0.93277544136797386</v>
      </c>
      <c r="G14" s="20">
        <f>COUNTIFS(GameStats!I:I,A14,GameStats!B:B,"&gt;="&amp;$Q$1)</f>
        <v>7</v>
      </c>
      <c r="H14" s="33">
        <f>SUMIFS(GameStats!F:F,GameStats!C:C,A14,GameStats!B:B,"&gt;="&amp;$Q$1)</f>
        <v>43694</v>
      </c>
      <c r="I14" s="33">
        <f>SUMIFS(GameStats!G:G,GameStats!C:C,A14,GameStats!B:B,"&gt;="&amp;$Q$1)</f>
        <v>46843</v>
      </c>
      <c r="J14" s="33">
        <f t="shared" si="2"/>
        <v>3361.0769230769229</v>
      </c>
      <c r="K14" s="33">
        <f t="shared" si="3"/>
        <v>3603.3076923076924</v>
      </c>
      <c r="L14" s="32">
        <f t="shared" si="4"/>
        <v>0.53846153846153844</v>
      </c>
      <c r="M14" s="29">
        <f>('Elo model'!$E$14*PlayerStats!D90) + ('Elo model'!$F$14*(1/PlayerStats!E90)) + ('Elo model'!$G$14*(PlayerStats!F90/1.75)) + ('Elo model'!$H$14*(PlayerStats!L90/4))</f>
        <v>8.8790705285550636E-2</v>
      </c>
      <c r="N14" s="21">
        <f>_xlfn.MINIFS(GameStats!B:B,GameStats!C:C,A14)</f>
        <v>45023</v>
      </c>
      <c r="O14" s="21">
        <f>_xlfn.MAXIFS(GameStats!B:B,GameStats!C:C,A14)</f>
        <v>45520</v>
      </c>
      <c r="P14" t="b">
        <f t="shared" si="5"/>
        <v>1</v>
      </c>
    </row>
    <row r="15" spans="1:17" customFormat="1" ht="14.4" x14ac:dyDescent="0.3">
      <c r="A15" s="20" t="str">
        <f>'All Players'!A143</f>
        <v>bambucha21</v>
      </c>
      <c r="B15" s="20">
        <f>COUNTIFS(GameStats!C:C,A15,GameStats!D:D,"1",GameStats!B:B,"&gt;="&amp;$Q$1)</f>
        <v>1</v>
      </c>
      <c r="C15" s="20">
        <f>COUNTIFS(GameStats!C:C,A15,GameStats!B:B,"&gt;="&amp;$Q$1)</f>
        <v>13</v>
      </c>
      <c r="D15" s="22">
        <f t="shared" si="0"/>
        <v>7.6923076923076927E-2</v>
      </c>
      <c r="E15" s="31">
        <f>SUMIFS(GameStats!D:D,GameStats!C:C,A15,GameStats!B:B,"&gt;="&amp;$Q$1)/C15</f>
        <v>12.538461538461538</v>
      </c>
      <c r="F15" s="32">
        <f t="shared" si="1"/>
        <v>0.91576584355033674</v>
      </c>
      <c r="G15" s="20">
        <f>COUNTIFS(GameStats!I:I,A15,GameStats!B:B,"&gt;="&amp;$Q$1)</f>
        <v>18</v>
      </c>
      <c r="H15" s="33">
        <f>SUMIFS(GameStats!F:F,GameStats!C:C,A15,GameStats!B:B,"&gt;="&amp;$Q$1)</f>
        <v>26516</v>
      </c>
      <c r="I15" s="33">
        <f>SUMIFS(GameStats!G:G,GameStats!C:C,A15,GameStats!B:B,"&gt;="&amp;$Q$1)</f>
        <v>28955</v>
      </c>
      <c r="J15" s="33">
        <f t="shared" si="2"/>
        <v>2039.6923076923076</v>
      </c>
      <c r="K15" s="33">
        <f t="shared" si="3"/>
        <v>2227.3076923076924</v>
      </c>
      <c r="L15" s="32">
        <f t="shared" si="4"/>
        <v>1.3846153846153846</v>
      </c>
      <c r="M15" s="29">
        <f>('Elo model'!$E$14*PlayerStats!D143) + ('Elo model'!$F$14*(1/PlayerStats!E143)) + ('Elo model'!$G$14*(PlayerStats!F143/1.75)) + ('Elo model'!$H$14*(PlayerStats!L143/4))</f>
        <v>0.11508189262966334</v>
      </c>
      <c r="N15" s="21">
        <f>_xlfn.MINIFS(GameStats!B:B,GameStats!C:C,A15)</f>
        <v>45380</v>
      </c>
      <c r="O15" s="21">
        <f>_xlfn.MAXIFS(GameStats!B:B,GameStats!C:C,A15)</f>
        <v>45506</v>
      </c>
      <c r="P15" t="b">
        <f t="shared" si="5"/>
        <v>1</v>
      </c>
    </row>
    <row r="16" spans="1:17" customFormat="1" ht="14.4" x14ac:dyDescent="0.3">
      <c r="A16" s="20" t="str">
        <f>'All Players'!A140</f>
        <v>mappy</v>
      </c>
      <c r="B16" s="20">
        <f>COUNTIFS(GameStats!C:C,A16,GameStats!D:D,"1",GameStats!B:B,"&gt;="&amp;$Q$1)</f>
        <v>0</v>
      </c>
      <c r="C16" s="20">
        <f>COUNTIFS(GameStats!C:C,A16,GameStats!B:B,"&gt;="&amp;$Q$1)</f>
        <v>12</v>
      </c>
      <c r="D16" s="22">
        <f t="shared" si="0"/>
        <v>0</v>
      </c>
      <c r="E16" s="31">
        <f>SUMIFS(GameStats!D:D,GameStats!C:C,A16,GameStats!B:B,"&gt;="&amp;$Q$1)/C16</f>
        <v>7.583333333333333</v>
      </c>
      <c r="F16" s="32">
        <f t="shared" si="1"/>
        <v>0.90792017944156544</v>
      </c>
      <c r="G16" s="20">
        <f>COUNTIFS(GameStats!I:I,A16,GameStats!B:B,"&gt;="&amp;$Q$1)</f>
        <v>30</v>
      </c>
      <c r="H16" s="33">
        <f>SUMIFS(GameStats!F:F,GameStats!C:C,A16,GameStats!B:B,"&gt;="&amp;$Q$1)</f>
        <v>46954</v>
      </c>
      <c r="I16" s="33">
        <f>SUMIFS(GameStats!G:G,GameStats!C:C,A16,GameStats!B:B,"&gt;="&amp;$Q$1)</f>
        <v>51716</v>
      </c>
      <c r="J16" s="33">
        <f t="shared" si="2"/>
        <v>3912.8333333333335</v>
      </c>
      <c r="K16" s="33">
        <f t="shared" si="3"/>
        <v>4309.666666666667</v>
      </c>
      <c r="L16" s="32">
        <f t="shared" si="4"/>
        <v>2.5</v>
      </c>
      <c r="M16" s="29">
        <f>('Elo model'!$E$14*PlayerStats!D140) + ('Elo model'!$F$14*(1/PlayerStats!E140)) + ('Elo model'!$G$14*(PlayerStats!F140/1.75)) + ('Elo model'!$H$14*(PlayerStats!L140/4))</f>
        <v>0.13163222521713086</v>
      </c>
      <c r="N16" s="21">
        <f>_xlfn.MINIFS(GameStats!B:B,GameStats!C:C,A16)</f>
        <v>45380</v>
      </c>
      <c r="O16" s="21">
        <f>_xlfn.MAXIFS(GameStats!B:B,GameStats!C:C,A16)</f>
        <v>45569</v>
      </c>
      <c r="P16" t="b">
        <f t="shared" si="5"/>
        <v>1</v>
      </c>
    </row>
    <row r="17" spans="1:17" ht="14.4" x14ac:dyDescent="0.3">
      <c r="A17" s="20" t="str">
        <f>'All Players'!A39</f>
        <v>Darkknight</v>
      </c>
      <c r="B17" s="20">
        <f>COUNTIFS(GameStats!C:C,A17,GameStats!D:D,"1",GameStats!B:B,"&gt;="&amp;$Q$1)</f>
        <v>0</v>
      </c>
      <c r="C17" s="20">
        <f>COUNTIFS(GameStats!C:C,A17,GameStats!B:B,"&gt;="&amp;$Q$1)</f>
        <v>12</v>
      </c>
      <c r="D17" s="22">
        <f t="shared" si="0"/>
        <v>0</v>
      </c>
      <c r="E17" s="31">
        <f>SUMIFS(GameStats!D:D,GameStats!C:C,A17,GameStats!B:B,"&gt;="&amp;$Q$1)/C17</f>
        <v>10.5</v>
      </c>
      <c r="F17" s="32">
        <f t="shared" si="1"/>
        <v>1.0208957935859</v>
      </c>
      <c r="G17" s="20">
        <f>COUNTIFS(GameStats!I:I,A17,GameStats!B:B,"&gt;="&amp;$Q$1)</f>
        <v>4</v>
      </c>
      <c r="H17" s="33">
        <f>SUMIFS(GameStats!F:F,GameStats!C:C,A17,GameStats!B:B,"&gt;="&amp;$Q$1)</f>
        <v>11237</v>
      </c>
      <c r="I17" s="33">
        <f>SUMIFS(GameStats!G:G,GameStats!C:C,A17,GameStats!B:B,"&gt;="&amp;$Q$1)</f>
        <v>11007</v>
      </c>
      <c r="J17" s="33">
        <f t="shared" si="2"/>
        <v>936.41666666666663</v>
      </c>
      <c r="K17" s="33">
        <f t="shared" si="3"/>
        <v>917.25</v>
      </c>
      <c r="L17" s="32">
        <f t="shared" si="4"/>
        <v>0.33333333333333331</v>
      </c>
      <c r="M17" s="29">
        <f>('Elo model'!$E$14*PlayerStats!D39) + ('Elo model'!$F$14*(1/PlayerStats!E39)) + ('Elo model'!$G$14*PlayerStats!F39) + ('Elo model'!$H$14*(PlayerStats!L39/4))</f>
        <v>0.15341892302491086</v>
      </c>
      <c r="N17" s="21">
        <f>_xlfn.MINIFS(GameStats!B:B,GameStats!C:C,A17)</f>
        <v>44988</v>
      </c>
      <c r="O17" s="21">
        <f>_xlfn.MAXIFS(GameStats!B:B,GameStats!C:C,A17)</f>
        <v>45555</v>
      </c>
      <c r="P17" t="b">
        <f t="shared" si="5"/>
        <v>1</v>
      </c>
    </row>
    <row r="18" spans="1:17" ht="14.4" x14ac:dyDescent="0.3">
      <c r="A18" s="20" t="str">
        <f>'All Players'!A122</f>
        <v>tdawg</v>
      </c>
      <c r="B18" s="20">
        <f>COUNTIFS(GameStats!C:C,A18,GameStats!D:D,"1",GameStats!B:B,"&gt;="&amp;$Q$1)</f>
        <v>1</v>
      </c>
      <c r="C18" s="20">
        <f>COUNTIFS(GameStats!C:C,A18,GameStats!B:B,"&gt;="&amp;$Q$1)</f>
        <v>11</v>
      </c>
      <c r="D18" s="22">
        <f t="shared" si="0"/>
        <v>9.0909090909090912E-2</v>
      </c>
      <c r="E18" s="31">
        <f>SUMIFS(GameStats!D:D,GameStats!C:C,A18,GameStats!B:B,"&gt;="&amp;$Q$1)/C18</f>
        <v>6.8181818181818183</v>
      </c>
      <c r="F18" s="32">
        <f t="shared" si="1"/>
        <v>1.1430059681463431</v>
      </c>
      <c r="G18" s="20">
        <f>COUNTIFS(GameStats!I:I,A18,GameStats!B:B,"&gt;="&amp;$Q$1)</f>
        <v>12</v>
      </c>
      <c r="H18" s="33">
        <f>SUMIFS(GameStats!F:F,GameStats!C:C,A18,GameStats!B:B,"&gt;="&amp;$Q$1)</f>
        <v>64733</v>
      </c>
      <c r="I18" s="33">
        <f>SUMIFS(GameStats!G:G,GameStats!C:C,A18,GameStats!B:B,"&gt;="&amp;$Q$1)</f>
        <v>56634</v>
      </c>
      <c r="J18" s="33">
        <f t="shared" si="2"/>
        <v>5884.818181818182</v>
      </c>
      <c r="K18" s="33">
        <f t="shared" si="3"/>
        <v>5148.545454545455</v>
      </c>
      <c r="L18" s="32">
        <f t="shared" si="4"/>
        <v>1.0909090909090908</v>
      </c>
      <c r="M18" s="29">
        <f>('Elo model'!$E$14*PlayerStats!D122) + ('Elo model'!$F$14*(1/PlayerStats!E122)) + ('Elo model'!$G$14*(PlayerStats!F122/1.75)) + ('Elo model'!$H$14*(PlayerStats!L122/4))</f>
        <v>0.16719650521152668</v>
      </c>
      <c r="N18" s="21">
        <f>_xlfn.MINIFS(GameStats!B:B,GameStats!C:C,A18)</f>
        <v>45366</v>
      </c>
      <c r="O18" s="21">
        <f>_xlfn.MAXIFS(GameStats!B:B,GameStats!C:C,A18)</f>
        <v>45569</v>
      </c>
      <c r="P18" t="b">
        <f t="shared" si="5"/>
        <v>1</v>
      </c>
      <c r="Q18"/>
    </row>
    <row r="19" spans="1:17" ht="14.4" x14ac:dyDescent="0.3">
      <c r="A19" s="20" t="str">
        <f>'All Players'!A19</f>
        <v>StarDrifter</v>
      </c>
      <c r="B19" s="20">
        <f>COUNTIFS(GameStats!C:C,A19,GameStats!D:D,"1",GameStats!B:B,"&gt;="&amp;$Q$1)</f>
        <v>1</v>
      </c>
      <c r="C19" s="20">
        <f>COUNTIFS(GameStats!C:C,A19,GameStats!B:B,"&gt;="&amp;$Q$1)</f>
        <v>11</v>
      </c>
      <c r="D19" s="22">
        <f t="shared" si="0"/>
        <v>9.0909090909090912E-2</v>
      </c>
      <c r="E19" s="31">
        <f>SUMIFS(GameStats!D:D,GameStats!C:C,A19,GameStats!B:B,"&gt;="&amp;$Q$1)/C19</f>
        <v>11.909090909090908</v>
      </c>
      <c r="F19" s="32">
        <f t="shared" si="1"/>
        <v>0.95564328843474222</v>
      </c>
      <c r="G19" s="20">
        <f>COUNTIFS(GameStats!I:I,A19,GameStats!B:B,"&gt;="&amp;$Q$1)</f>
        <v>2</v>
      </c>
      <c r="H19" s="33">
        <f>SUMIFS(GameStats!F:F,GameStats!C:C,A19,GameStats!B:B,"&gt;="&amp;$Q$1)</f>
        <v>8230</v>
      </c>
      <c r="I19" s="33">
        <f>SUMIFS(GameStats!G:G,GameStats!C:C,A19,GameStats!B:B,"&gt;="&amp;$Q$1)</f>
        <v>8612</v>
      </c>
      <c r="J19" s="33">
        <f t="shared" si="2"/>
        <v>748.18181818181813</v>
      </c>
      <c r="K19" s="33">
        <f t="shared" si="3"/>
        <v>782.90909090909088</v>
      </c>
      <c r="L19" s="32">
        <f t="shared" si="4"/>
        <v>0.18181818181818182</v>
      </c>
      <c r="M19" s="29">
        <f>('Elo model'!$E$14*PlayerStats!D19) + ('Elo model'!$F$14*(1/PlayerStats!E19)) + ('Elo model'!$G$14*(PlayerStats!F19/1.75)) + ('Elo model'!$H$14*(PlayerStats!L19/4))</f>
        <v>0.15290464827804875</v>
      </c>
      <c r="N19" s="21">
        <f>_xlfn.MINIFS(GameStats!B:B,GameStats!C:C,A19)</f>
        <v>44967</v>
      </c>
      <c r="O19" s="21">
        <f>_xlfn.MAXIFS(GameStats!B:B,GameStats!C:C,A19)</f>
        <v>45555</v>
      </c>
      <c r="P19" t="b">
        <f t="shared" si="5"/>
        <v>1</v>
      </c>
      <c r="Q19"/>
    </row>
    <row r="20" spans="1:17" customFormat="1" ht="14.4" x14ac:dyDescent="0.3">
      <c r="A20" s="20" t="str">
        <f>'All Players'!A229</f>
        <v>NeoC0mplex</v>
      </c>
      <c r="B20" s="20">
        <f>COUNTIFS(GameStats!C:C,A20,GameStats!D:D,"1",GameStats!B:B,"&gt;="&amp;$Q$1)</f>
        <v>0</v>
      </c>
      <c r="C20" s="20">
        <f>COUNTIFS(GameStats!C:C,A20,GameStats!B:B,"&gt;="&amp;$Q$1)</f>
        <v>11</v>
      </c>
      <c r="D20" s="22">
        <f t="shared" si="0"/>
        <v>0</v>
      </c>
      <c r="E20" s="31">
        <f>SUMIFS(GameStats!D:D,GameStats!C:C,A20,GameStats!B:B,"&gt;="&amp;$Q$1)/C20</f>
        <v>12.818181818181818</v>
      </c>
      <c r="F20" s="32">
        <f t="shared" si="1"/>
        <v>0.89210097719869708</v>
      </c>
      <c r="G20" s="20">
        <f>COUNTIFS(GameStats!I:I,A20,GameStats!B:B,"&gt;="&amp;$Q$1)</f>
        <v>9</v>
      </c>
      <c r="H20" s="33">
        <f>SUMIFS(GameStats!F:F,GameStats!C:C,A20,GameStats!B:B,"&gt;="&amp;$Q$1)</f>
        <v>8764</v>
      </c>
      <c r="I20" s="33">
        <f>SUMIFS(GameStats!G:G,GameStats!C:C,A20,GameStats!B:B,"&gt;="&amp;$Q$1)</f>
        <v>9824</v>
      </c>
      <c r="J20" s="33">
        <f t="shared" si="2"/>
        <v>796.72727272727275</v>
      </c>
      <c r="K20" s="33">
        <f t="shared" si="3"/>
        <v>893.09090909090912</v>
      </c>
      <c r="L20" s="32">
        <f t="shared" si="4"/>
        <v>0.81818181818181823</v>
      </c>
      <c r="M20" s="29">
        <f>('Elo model'!$E$14*PlayerStats!D229) + ('Elo model'!$F$14*(1/PlayerStats!E229)) + ('Elo model'!$G$14*(PlayerStats!F229/1.75)) + ('Elo model'!$H$14*(PlayerStats!L229/4))</f>
        <v>0.12312030075187969</v>
      </c>
      <c r="N20" s="21">
        <f>_xlfn.MINIFS(GameStats!B:B,GameStats!C:C,A20)</f>
        <v>45464</v>
      </c>
      <c r="O20" s="21">
        <f>_xlfn.MAXIFS(GameStats!B:B,GameStats!C:C,A20)</f>
        <v>45562</v>
      </c>
      <c r="P20" t="b">
        <f t="shared" si="5"/>
        <v>1</v>
      </c>
    </row>
    <row r="21" spans="1:17" customFormat="1" ht="14.4" x14ac:dyDescent="0.3">
      <c r="A21" s="20" t="str">
        <f>'All Players'!A61</f>
        <v>noswear</v>
      </c>
      <c r="B21" s="20">
        <f>COUNTIFS(GameStats!C:C,A21,GameStats!D:D,"1",GameStats!B:B,"&gt;="&amp;$Q$1)</f>
        <v>0</v>
      </c>
      <c r="C21" s="20">
        <f>COUNTIFS(GameStats!C:C,A21,GameStats!B:B,"&gt;="&amp;$Q$1)</f>
        <v>11</v>
      </c>
      <c r="D21" s="22">
        <f t="shared" si="0"/>
        <v>0</v>
      </c>
      <c r="E21" s="31">
        <f>SUMIFS(GameStats!D:D,GameStats!C:C,A21,GameStats!B:B,"&gt;="&amp;$Q$1)/C21</f>
        <v>15.818181818181818</v>
      </c>
      <c r="F21" s="32">
        <f t="shared" si="1"/>
        <v>0.86767266395821241</v>
      </c>
      <c r="G21" s="20">
        <f>COUNTIFS(GameStats!I:I,A21,GameStats!B:B,"&gt;="&amp;$Q$1)</f>
        <v>4</v>
      </c>
      <c r="H21" s="33">
        <f>SUMIFS(GameStats!F:F,GameStats!C:C,A21,GameStats!B:B,"&gt;="&amp;$Q$1)</f>
        <v>7475</v>
      </c>
      <c r="I21" s="33">
        <f>SUMIFS(GameStats!G:G,GameStats!C:C,A21,GameStats!B:B,"&gt;="&amp;$Q$1)</f>
        <v>8615</v>
      </c>
      <c r="J21" s="33">
        <f t="shared" si="2"/>
        <v>679.5454545454545</v>
      </c>
      <c r="K21" s="33">
        <f t="shared" si="3"/>
        <v>783.18181818181813</v>
      </c>
      <c r="L21" s="32">
        <f t="shared" si="4"/>
        <v>0.36363636363636365</v>
      </c>
      <c r="M21" s="29">
        <f>('Elo model'!$E$14*PlayerStats!D61) + ('Elo model'!$F$14*(1/PlayerStats!E61)) + ('Elo model'!$G$14*(PlayerStats!F61/1.75)) + ('Elo model'!$H$14*(PlayerStats!L61/4))</f>
        <v>0.13607822576159614</v>
      </c>
      <c r="N21" s="21">
        <f>_xlfn.MINIFS(GameStats!B:B,GameStats!C:C,A21)</f>
        <v>45002</v>
      </c>
      <c r="O21" s="21">
        <f>_xlfn.MAXIFS(GameStats!B:B,GameStats!C:C,A21)</f>
        <v>45569</v>
      </c>
      <c r="P21" t="b">
        <f t="shared" si="5"/>
        <v>1</v>
      </c>
      <c r="Q21" s="20"/>
    </row>
    <row r="22" spans="1:17" ht="14.4" x14ac:dyDescent="0.3">
      <c r="A22" s="20" t="str">
        <f>'All Players'!A121</f>
        <v>none</v>
      </c>
      <c r="B22" s="20">
        <f>COUNTIFS(GameStats!C:C,A22,GameStats!D:D,"1",GameStats!B:B,"&gt;="&amp;$Q$1)</f>
        <v>1</v>
      </c>
      <c r="C22" s="20">
        <f>COUNTIFS(GameStats!C:C,A22,GameStats!B:B,"&gt;="&amp;$Q$1)</f>
        <v>10</v>
      </c>
      <c r="D22" s="22">
        <f t="shared" si="0"/>
        <v>0.1</v>
      </c>
      <c r="E22" s="31">
        <f>SUMIFS(GameStats!D:D,GameStats!C:C,A22,GameStats!B:B,"&gt;="&amp;$Q$1)/C22</f>
        <v>5.9</v>
      </c>
      <c r="F22" s="32">
        <f t="shared" si="1"/>
        <v>1.1533057063923025</v>
      </c>
      <c r="G22" s="20">
        <f>COUNTIFS(GameStats!I:I,A22,GameStats!B:B,"&gt;="&amp;$Q$1)</f>
        <v>20</v>
      </c>
      <c r="H22" s="33">
        <f>SUMIFS(GameStats!F:F,GameStats!C:C,A22,GameStats!B:B,"&gt;="&amp;$Q$1)</f>
        <v>48425</v>
      </c>
      <c r="I22" s="33">
        <f>SUMIFS(GameStats!G:G,GameStats!C:C,A22,GameStats!B:B,"&gt;="&amp;$Q$1)</f>
        <v>41988</v>
      </c>
      <c r="J22" s="33">
        <f t="shared" si="2"/>
        <v>4842.5</v>
      </c>
      <c r="K22" s="33">
        <f t="shared" si="3"/>
        <v>4198.8</v>
      </c>
      <c r="L22" s="32">
        <f t="shared" si="4"/>
        <v>2</v>
      </c>
      <c r="M22" s="29">
        <f>('Elo model'!$E$14*PlayerStats!D121) + ('Elo model'!$F$14*(1/PlayerStats!E121)) + ('Elo model'!$G$14*(PlayerStats!F121/1.75)) + ('Elo model'!$H$14*(PlayerStats!L121/4))</f>
        <v>0.15921578108490481</v>
      </c>
      <c r="N22" s="21">
        <f>_xlfn.MINIFS(GameStats!B:B,GameStats!C:C,A22)</f>
        <v>45366</v>
      </c>
      <c r="O22" s="21">
        <f>_xlfn.MAXIFS(GameStats!B:B,GameStats!C:C,A22)</f>
        <v>45569</v>
      </c>
      <c r="P22" t="b">
        <f t="shared" si="5"/>
        <v>1</v>
      </c>
      <c r="Q22"/>
    </row>
    <row r="23" spans="1:17" customFormat="1" ht="14.4" x14ac:dyDescent="0.3">
      <c r="A23" s="20" t="str">
        <f>'All Players'!A7</f>
        <v>ColdMist</v>
      </c>
      <c r="B23" s="20">
        <f>COUNTIFS(GameStats!C:C,A23,GameStats!D:D,"1",GameStats!B:B,"&gt;="&amp;$Q$1)</f>
        <v>1</v>
      </c>
      <c r="C23" s="20">
        <f>COUNTIFS(GameStats!C:C,A23,GameStats!B:B,"&gt;="&amp;$Q$1)</f>
        <v>10</v>
      </c>
      <c r="D23" s="22">
        <f t="shared" si="0"/>
        <v>0.1</v>
      </c>
      <c r="E23" s="31">
        <f>SUMIFS(GameStats!D:D,GameStats!C:C,A23,GameStats!B:B,"&gt;="&amp;$Q$1)/C23</f>
        <v>7.7</v>
      </c>
      <c r="F23" s="32">
        <f t="shared" si="1"/>
        <v>1.2242843870282707</v>
      </c>
      <c r="G23" s="20">
        <f>COUNTIFS(GameStats!I:I,A23,GameStats!B:B,"&gt;="&amp;$Q$1)</f>
        <v>15</v>
      </c>
      <c r="H23" s="33">
        <f>SUMIFS(GameStats!F:F,GameStats!C:C,A23,GameStats!B:B,"&gt;="&amp;$Q$1)</f>
        <v>55345</v>
      </c>
      <c r="I23" s="33">
        <f>SUMIFS(GameStats!G:G,GameStats!C:C,A23,GameStats!B:B,"&gt;="&amp;$Q$1)</f>
        <v>45206</v>
      </c>
      <c r="J23" s="33">
        <f t="shared" si="2"/>
        <v>5534.5</v>
      </c>
      <c r="K23" s="33">
        <f t="shared" si="3"/>
        <v>4520.6000000000004</v>
      </c>
      <c r="L23" s="32">
        <f t="shared" si="4"/>
        <v>1.5</v>
      </c>
      <c r="M23" s="29">
        <f>('Elo model'!$E$14*PlayerStats!D7) + ('Elo model'!$F$14*(1/PlayerStats!E7)) + ('Elo model'!$G$14*PlayerStats!F7) + ('Elo model'!$H$14*(PlayerStats!L7/4))</f>
        <v>0.18987788805467343</v>
      </c>
      <c r="N23" s="21">
        <f>_xlfn.MINIFS(GameStats!B:B,GameStats!C:C,A23)</f>
        <v>44967</v>
      </c>
      <c r="O23" s="21">
        <f>_xlfn.MAXIFS(GameStats!B:B,GameStats!C:C,A23)</f>
        <v>45541</v>
      </c>
      <c r="P23" t="b">
        <f t="shared" si="5"/>
        <v>1</v>
      </c>
    </row>
    <row r="24" spans="1:17" ht="14.4" x14ac:dyDescent="0.3">
      <c r="A24" s="20" t="str">
        <f>'All Players'!A35</f>
        <v>Dauda</v>
      </c>
      <c r="B24" s="20">
        <f>COUNTIFS(GameStats!C:C,A24,GameStats!D:D,"1",GameStats!B:B,"&gt;="&amp;$Q$1)</f>
        <v>3</v>
      </c>
      <c r="C24" s="20">
        <f>COUNTIFS(GameStats!C:C,A24,GameStats!B:B,"&gt;="&amp;$Q$1)</f>
        <v>10</v>
      </c>
      <c r="D24" s="22">
        <f t="shared" si="0"/>
        <v>0.3</v>
      </c>
      <c r="E24" s="31">
        <f>SUMIFS(GameStats!D:D,GameStats!C:C,A24,GameStats!B:B,"&gt;="&amp;$Q$1)/C24</f>
        <v>8.1</v>
      </c>
      <c r="F24" s="32">
        <f t="shared" si="1"/>
        <v>1.0542447861807458</v>
      </c>
      <c r="G24" s="20">
        <f>COUNTIFS(GameStats!I:I,A24,GameStats!B:B,"&gt;="&amp;$Q$1)</f>
        <v>5</v>
      </c>
      <c r="H24" s="33">
        <f>SUMIFS(GameStats!F:F,GameStats!C:C,A24,GameStats!B:B,"&gt;="&amp;$Q$1)</f>
        <v>20018</v>
      </c>
      <c r="I24" s="33">
        <f>SUMIFS(GameStats!G:G,GameStats!C:C,A24,GameStats!B:B,"&gt;="&amp;$Q$1)</f>
        <v>18988</v>
      </c>
      <c r="J24" s="33">
        <f t="shared" si="2"/>
        <v>2001.8</v>
      </c>
      <c r="K24" s="33">
        <f t="shared" si="3"/>
        <v>1898.8</v>
      </c>
      <c r="L24" s="32">
        <f t="shared" si="4"/>
        <v>0.5</v>
      </c>
      <c r="M24" s="29">
        <f>('Elo model'!$E$14*PlayerStats!D35) + ('Elo model'!$F$14*(1/PlayerStats!E35)) + ('Elo model'!$G$14*(PlayerStats!F35/1.75)) + ('Elo model'!$H$14*(PlayerStats!L35/4))</f>
        <v>8.3302747032172969E-2</v>
      </c>
      <c r="N24" s="21">
        <f>_xlfn.MINIFS(GameStats!B:B,GameStats!C:C,A24)</f>
        <v>44981</v>
      </c>
      <c r="O24" s="21">
        <f>_xlfn.MAXIFS(GameStats!B:B,GameStats!C:C,A24)</f>
        <v>45562</v>
      </c>
      <c r="P24" t="b">
        <f t="shared" si="5"/>
        <v>1</v>
      </c>
    </row>
    <row r="25" spans="1:17" customFormat="1" ht="14.4" x14ac:dyDescent="0.3">
      <c r="A25" s="20" t="str">
        <f>'All Players'!A10</f>
        <v>Nerla</v>
      </c>
      <c r="B25" s="20">
        <f>COUNTIFS(GameStats!C:C,A25,GameStats!D:D,"1",GameStats!B:B,"&gt;="&amp;$Q$1)</f>
        <v>0</v>
      </c>
      <c r="C25" s="20">
        <f>COUNTIFS(GameStats!C:C,A25,GameStats!B:B,"&gt;="&amp;$Q$1)</f>
        <v>10</v>
      </c>
      <c r="D25" s="22">
        <f t="shared" si="0"/>
        <v>0</v>
      </c>
      <c r="E25" s="31">
        <f>SUMIFS(GameStats!D:D,GameStats!C:C,A25,GameStats!B:B,"&gt;="&amp;$Q$1)/C25</f>
        <v>8.1999999999999993</v>
      </c>
      <c r="F25" s="32">
        <f t="shared" si="1"/>
        <v>1.0421368948247078</v>
      </c>
      <c r="G25" s="20">
        <f>COUNTIFS(GameStats!I:I,A25,GameStats!B:B,"&gt;="&amp;$Q$1)</f>
        <v>2</v>
      </c>
      <c r="H25" s="33">
        <f>SUMIFS(GameStats!F:F,GameStats!C:C,A25,GameStats!B:B,"&gt;="&amp;$Q$1)</f>
        <v>15606</v>
      </c>
      <c r="I25" s="33">
        <f>SUMIFS(GameStats!G:G,GameStats!C:C,A25,GameStats!B:B,"&gt;="&amp;$Q$1)</f>
        <v>14975</v>
      </c>
      <c r="J25" s="33">
        <f t="shared" si="2"/>
        <v>1560.6</v>
      </c>
      <c r="K25" s="33">
        <f t="shared" si="3"/>
        <v>1497.5</v>
      </c>
      <c r="L25" s="32">
        <f t="shared" si="4"/>
        <v>0.2</v>
      </c>
      <c r="M25" s="29">
        <f>('Elo model'!$E$14*PlayerStats!D10) + ('Elo model'!$F$14*(1/PlayerStats!E10)) + ('Elo model'!$G$14*PlayerStats!F10) + ('Elo model'!$H$14*(PlayerStats!L10/4))</f>
        <v>0.17065285945495939</v>
      </c>
      <c r="N25" s="21">
        <f>_xlfn.MINIFS(GameStats!B:B,GameStats!C:C,A25)</f>
        <v>44967</v>
      </c>
      <c r="O25" s="21">
        <f>_xlfn.MAXIFS(GameStats!B:B,GameStats!C:C,A25)</f>
        <v>45513</v>
      </c>
      <c r="P25" t="b">
        <f t="shared" si="5"/>
        <v>1</v>
      </c>
    </row>
    <row r="26" spans="1:17" customFormat="1" ht="14.4" x14ac:dyDescent="0.3">
      <c r="A26" s="20" t="str">
        <f>'All Players'!A53</f>
        <v>idorobots</v>
      </c>
      <c r="B26" s="20">
        <f>COUNTIFS(GameStats!C:C,A26,GameStats!D:D,"1",GameStats!B:B,"&gt;="&amp;$Q$1)</f>
        <v>2</v>
      </c>
      <c r="C26" s="20">
        <f>COUNTIFS(GameStats!C:C,A26,GameStats!B:B,"&gt;="&amp;$Q$1)</f>
        <v>10</v>
      </c>
      <c r="D26" s="22">
        <f t="shared" si="0"/>
        <v>0.2</v>
      </c>
      <c r="E26" s="31">
        <f>SUMIFS(GameStats!D:D,GameStats!C:C,A26,GameStats!B:B,"&gt;="&amp;$Q$1)/C26</f>
        <v>9</v>
      </c>
      <c r="F26" s="32">
        <f t="shared" si="1"/>
        <v>1.1407222435651172</v>
      </c>
      <c r="G26" s="20">
        <f>COUNTIFS(GameStats!I:I,A26,GameStats!B:B,"&gt;="&amp;$Q$1)</f>
        <v>11</v>
      </c>
      <c r="H26" s="33">
        <f>SUMIFS(GameStats!F:F,GameStats!C:C,A26,GameStats!B:B,"&gt;="&amp;$Q$1)</f>
        <v>29693</v>
      </c>
      <c r="I26" s="33">
        <f>SUMIFS(GameStats!G:G,GameStats!C:C,A26,GameStats!B:B,"&gt;="&amp;$Q$1)</f>
        <v>26030</v>
      </c>
      <c r="J26" s="33">
        <f t="shared" si="2"/>
        <v>2969.3</v>
      </c>
      <c r="K26" s="33">
        <f t="shared" si="3"/>
        <v>2603</v>
      </c>
      <c r="L26" s="32">
        <f t="shared" si="4"/>
        <v>1.1000000000000001</v>
      </c>
      <c r="M26" s="29">
        <f>('Elo model'!$E$14*PlayerStats!D53) + ('Elo model'!$F$14*(1/PlayerStats!E53)) + ('Elo model'!$G$14*(PlayerStats!F53/1.75)) + ('Elo model'!$H$14*(PlayerStats!L53/4))</f>
        <v>0.13995478723093138</v>
      </c>
      <c r="N26" s="21">
        <f>_xlfn.MINIFS(GameStats!B:B,GameStats!C:C,A26)</f>
        <v>44995</v>
      </c>
      <c r="O26" s="21">
        <f>_xlfn.MAXIFS(GameStats!B:B,GameStats!C:C,A26)</f>
        <v>45499</v>
      </c>
      <c r="P26" t="b">
        <f t="shared" si="5"/>
        <v>1</v>
      </c>
      <c r="Q26" s="20"/>
    </row>
    <row r="27" spans="1:17" customFormat="1" ht="14.4" x14ac:dyDescent="0.3">
      <c r="A27" s="20" t="str">
        <f>'All Players'!A9</f>
        <v>Jax</v>
      </c>
      <c r="B27" s="20">
        <f>COUNTIFS(GameStats!C:C,A27,GameStats!D:D,"1",GameStats!B:B,"&gt;="&amp;$Q$1)</f>
        <v>0</v>
      </c>
      <c r="C27" s="20">
        <f>COUNTIFS(GameStats!C:C,A27,GameStats!B:B,"&gt;="&amp;$Q$1)</f>
        <v>10</v>
      </c>
      <c r="D27" s="22">
        <f t="shared" si="0"/>
        <v>0</v>
      </c>
      <c r="E27" s="31">
        <f>SUMIFS(GameStats!D:D,GameStats!C:C,A27,GameStats!B:B,"&gt;="&amp;$Q$1)/C27</f>
        <v>9.8000000000000007</v>
      </c>
      <c r="F27" s="32">
        <f t="shared" si="1"/>
        <v>1.0158108500145053</v>
      </c>
      <c r="G27" s="20">
        <f>COUNTIFS(GameStats!I:I,A27,GameStats!B:B,"&gt;="&amp;$Q$1)</f>
        <v>1</v>
      </c>
      <c r="H27" s="33">
        <f>SUMIFS(GameStats!F:F,GameStats!C:C,A27,GameStats!B:B,"&gt;="&amp;$Q$1)</f>
        <v>7003</v>
      </c>
      <c r="I27" s="33">
        <f>SUMIFS(GameStats!G:G,GameStats!C:C,A27,GameStats!B:B,"&gt;="&amp;$Q$1)</f>
        <v>6894</v>
      </c>
      <c r="J27" s="33">
        <f t="shared" si="2"/>
        <v>700.3</v>
      </c>
      <c r="K27" s="33">
        <f t="shared" si="3"/>
        <v>689.4</v>
      </c>
      <c r="L27" s="32">
        <f t="shared" si="4"/>
        <v>0.1</v>
      </c>
      <c r="M27" s="29">
        <f>('Elo model'!$E$14*PlayerStats!D9) + ('Elo model'!$F$14*(1/PlayerStats!E9)) + ('Elo model'!$G$14*PlayerStats!F9) + ('Elo model'!$H$14*(PlayerStats!L9/4))</f>
        <v>0.28883876177069867</v>
      </c>
      <c r="N27" s="21">
        <f>_xlfn.MINIFS(GameStats!B:B,GameStats!C:C,A27)</f>
        <v>44967</v>
      </c>
      <c r="O27" s="21">
        <f>_xlfn.MAXIFS(GameStats!B:B,GameStats!C:C,A27)</f>
        <v>45436</v>
      </c>
      <c r="P27" t="b">
        <f t="shared" si="5"/>
        <v>1</v>
      </c>
    </row>
    <row r="28" spans="1:17" customFormat="1" ht="14.4" x14ac:dyDescent="0.3">
      <c r="A28" s="20" t="str">
        <f>'All Players'!A66</f>
        <v>SMW</v>
      </c>
      <c r="B28" s="20">
        <f>COUNTIFS(GameStats!C:C,A28,GameStats!D:D,"1",GameStats!B:B,"&gt;="&amp;$Q$1)</f>
        <v>2</v>
      </c>
      <c r="C28" s="20">
        <f>COUNTIFS(GameStats!C:C,A28,GameStats!B:B,"&gt;="&amp;$Q$1)</f>
        <v>9</v>
      </c>
      <c r="D28" s="22">
        <f t="shared" si="0"/>
        <v>0.22222222222222221</v>
      </c>
      <c r="E28" s="31">
        <f>SUMIFS(GameStats!D:D,GameStats!C:C,A28,GameStats!B:B,"&gt;="&amp;$Q$1)/C28</f>
        <v>8.5555555555555554</v>
      </c>
      <c r="F28" s="32">
        <f t="shared" si="1"/>
        <v>1.0576865688772583</v>
      </c>
      <c r="G28" s="20">
        <f>COUNTIFS(GameStats!I:I,A28,GameStats!B:B,"&gt;="&amp;$Q$1)</f>
        <v>19</v>
      </c>
      <c r="H28" s="33">
        <f>SUMIFS(GameStats!F:F,GameStats!C:C,A28,GameStats!B:B,"&gt;="&amp;$Q$1)</f>
        <v>46076</v>
      </c>
      <c r="I28" s="33">
        <f>SUMIFS(GameStats!G:G,GameStats!C:C,A28,GameStats!B:B,"&gt;="&amp;$Q$1)</f>
        <v>43563</v>
      </c>
      <c r="J28" s="33">
        <f t="shared" si="2"/>
        <v>5119.5555555555557</v>
      </c>
      <c r="K28" s="33">
        <f t="shared" si="3"/>
        <v>4840.333333333333</v>
      </c>
      <c r="L28" s="32">
        <f t="shared" si="4"/>
        <v>2.1111111111111112</v>
      </c>
      <c r="M28" s="29">
        <f>('Elo model'!$E$14*PlayerStats!D66) + ('Elo model'!$F$14*(1/PlayerStats!E66)) + ('Elo model'!$G$14*(PlayerStats!F66/1.75)) + ('Elo model'!$H$14*(PlayerStats!L66/4))</f>
        <v>9.4230435876431623E-2</v>
      </c>
      <c r="N28" s="21">
        <f>_xlfn.MINIFS(GameStats!B:B,GameStats!C:C,A28)</f>
        <v>45009</v>
      </c>
      <c r="O28" s="21">
        <f>_xlfn.MAXIFS(GameStats!B:B,GameStats!C:C,A28)</f>
        <v>45562</v>
      </c>
      <c r="P28" t="b">
        <f t="shared" si="5"/>
        <v>1</v>
      </c>
      <c r="Q28" s="20"/>
    </row>
    <row r="29" spans="1:17" customFormat="1" ht="14.4" x14ac:dyDescent="0.3">
      <c r="A29" s="20" t="str">
        <f>'All Players'!A40</f>
        <v>GDArchangel</v>
      </c>
      <c r="B29" s="20">
        <f>COUNTIFS(GameStats!C:C,A29,GameStats!D:D,"1",GameStats!B:B,"&gt;="&amp;$Q$1)</f>
        <v>0</v>
      </c>
      <c r="C29" s="20">
        <f>COUNTIFS(GameStats!C:C,A29,GameStats!B:B,"&gt;="&amp;$Q$1)</f>
        <v>9</v>
      </c>
      <c r="D29" s="22">
        <f t="shared" si="0"/>
        <v>0</v>
      </c>
      <c r="E29" s="31">
        <f>SUMIFS(GameStats!D:D,GameStats!C:C,A29,GameStats!B:B,"&gt;="&amp;$Q$1)/C29</f>
        <v>13.444444444444445</v>
      </c>
      <c r="F29" s="32">
        <f t="shared" si="1"/>
        <v>0.8120860927152318</v>
      </c>
      <c r="G29" s="20">
        <f>COUNTIFS(GameStats!I:I,A29,GameStats!B:B,"&gt;="&amp;$Q$1)</f>
        <v>1</v>
      </c>
      <c r="H29" s="33">
        <f>SUMIFS(GameStats!F:F,GameStats!C:C,A29,GameStats!B:B,"&gt;="&amp;$Q$1)</f>
        <v>6867</v>
      </c>
      <c r="I29" s="33">
        <f>SUMIFS(GameStats!G:G,GameStats!C:C,A29,GameStats!B:B,"&gt;="&amp;$Q$1)</f>
        <v>8456</v>
      </c>
      <c r="J29" s="33">
        <f t="shared" si="2"/>
        <v>763</v>
      </c>
      <c r="K29" s="33">
        <f t="shared" si="3"/>
        <v>939.55555555555554</v>
      </c>
      <c r="L29" s="32">
        <f t="shared" si="4"/>
        <v>0.1111111111111111</v>
      </c>
      <c r="M29" s="29">
        <f>('Elo model'!$E$14*PlayerStats!D40) + ('Elo model'!$F$14*(1/PlayerStats!E40)) + ('Elo model'!$G$14*PlayerStats!F40) + ('Elo model'!$H$14*(PlayerStats!L40/4))</f>
        <v>0.16773540740426054</v>
      </c>
      <c r="N29" s="21">
        <f>_xlfn.MINIFS(GameStats!B:B,GameStats!C:C,A29)</f>
        <v>44988</v>
      </c>
      <c r="O29" s="21">
        <f>_xlfn.MAXIFS(GameStats!B:B,GameStats!C:C,A29)</f>
        <v>45471</v>
      </c>
      <c r="P29" t="b">
        <f t="shared" si="5"/>
        <v>1</v>
      </c>
    </row>
    <row r="30" spans="1:17" ht="14.4" x14ac:dyDescent="0.3">
      <c r="A30" s="20" t="str">
        <f>'All Players'!A251</f>
        <v>Apodyopsis</v>
      </c>
      <c r="B30" s="20">
        <f>COUNTIFS(GameStats!C:C,A30,GameStats!D:D,"1",GameStats!B:B,"&gt;="&amp;$Q$1)</f>
        <v>0</v>
      </c>
      <c r="C30" s="20">
        <f>COUNTIFS(GameStats!C:C,A30,GameStats!B:B,"&gt;="&amp;$Q$1)</f>
        <v>9</v>
      </c>
      <c r="D30" s="22">
        <f t="shared" si="0"/>
        <v>0</v>
      </c>
      <c r="E30" s="31">
        <f>SUMIFS(GameStats!D:D,GameStats!C:C,A30,GameStats!B:B,"&gt;="&amp;$Q$1)/C30</f>
        <v>14.888888888888889</v>
      </c>
      <c r="F30" s="32">
        <f t="shared" si="1"/>
        <v>0.73958980733374768</v>
      </c>
      <c r="G30" s="20">
        <f>COUNTIFS(GameStats!I:I,A30,GameStats!B:B,"&gt;="&amp;$Q$1)</f>
        <v>3</v>
      </c>
      <c r="H30" s="33">
        <f>SUMIFS(GameStats!F:F,GameStats!C:C,A30,GameStats!B:B,"&gt;="&amp;$Q$1)</f>
        <v>2380</v>
      </c>
      <c r="I30" s="33">
        <f>SUMIFS(GameStats!G:G,GameStats!C:C,A30,GameStats!B:B,"&gt;="&amp;$Q$1)</f>
        <v>3218</v>
      </c>
      <c r="J30" s="33">
        <f t="shared" si="2"/>
        <v>264.44444444444446</v>
      </c>
      <c r="K30" s="33">
        <f t="shared" si="3"/>
        <v>357.55555555555554</v>
      </c>
      <c r="L30" s="32">
        <f t="shared" si="4"/>
        <v>0.33333333333333331</v>
      </c>
      <c r="M30" s="29">
        <f>('Elo model'!$E$14*PlayerStats!D251) + ('Elo model'!$F$14*(1/PlayerStats!E251)) + ('Elo model'!$G$14*(PlayerStats!F251/1.75)) + ('Elo model'!$H$14*(PlayerStats!L251/4))</f>
        <v>5.1904761904761905E-2</v>
      </c>
      <c r="N30" s="21">
        <f>_xlfn.MINIFS(GameStats!B:B,GameStats!C:C,A30)</f>
        <v>45499</v>
      </c>
      <c r="O30" s="21">
        <f>_xlfn.MAXIFS(GameStats!B:B,GameStats!C:C,A30)</f>
        <v>45569</v>
      </c>
      <c r="P30" t="b">
        <f t="shared" si="5"/>
        <v>1</v>
      </c>
      <c r="Q30"/>
    </row>
    <row r="31" spans="1:17" ht="14.4" x14ac:dyDescent="0.3">
      <c r="A31" s="20" t="str">
        <f>'All Players'!A100</f>
        <v>DeKaL</v>
      </c>
      <c r="B31" s="20">
        <f>COUNTIFS(GameStats!C:C,A31,GameStats!D:D,"1",GameStats!B:B,"&gt;="&amp;$Q$1)</f>
        <v>0</v>
      </c>
      <c r="C31" s="20">
        <f>COUNTIFS(GameStats!C:C,A31,GameStats!B:B,"&gt;="&amp;$Q$1)</f>
        <v>8</v>
      </c>
      <c r="D31" s="22">
        <f t="shared" si="0"/>
        <v>0</v>
      </c>
      <c r="E31" s="31">
        <f>SUMIFS(GameStats!D:D,GameStats!C:C,A31,GameStats!B:B,"&gt;="&amp;$Q$1)/C31</f>
        <v>10</v>
      </c>
      <c r="F31" s="32">
        <f t="shared" si="1"/>
        <v>0.92605156037991854</v>
      </c>
      <c r="G31" s="20">
        <f>COUNTIFS(GameStats!I:I,A31,GameStats!B:B,"&gt;="&amp;$Q$1)</f>
        <v>12</v>
      </c>
      <c r="H31" s="33">
        <f>SUMIFS(GameStats!F:F,GameStats!C:C,A31,GameStats!B:B,"&gt;="&amp;$Q$1)</f>
        <v>17745</v>
      </c>
      <c r="I31" s="33">
        <f>SUMIFS(GameStats!G:G,GameStats!C:C,A31,GameStats!B:B,"&gt;="&amp;$Q$1)</f>
        <v>19162</v>
      </c>
      <c r="J31" s="33">
        <f t="shared" si="2"/>
        <v>2218.125</v>
      </c>
      <c r="K31" s="33">
        <f t="shared" si="3"/>
        <v>2395.25</v>
      </c>
      <c r="L31" s="32">
        <f t="shared" si="4"/>
        <v>1.5</v>
      </c>
      <c r="M31" s="29">
        <f>('Elo model'!$E$14*PlayerStats!D100) + ('Elo model'!$F$14*(1/PlayerStats!E100)) + ('Elo model'!$G$14*(PlayerStats!F100/1.75)) + ('Elo model'!$H$14*(PlayerStats!L100/4))</f>
        <v>9.760040290411863E-2</v>
      </c>
      <c r="N31" s="21">
        <f>_xlfn.MINIFS(GameStats!B:B,GameStats!C:C,A31)</f>
        <v>45030</v>
      </c>
      <c r="O31" s="21">
        <f>_xlfn.MAXIFS(GameStats!B:B,GameStats!C:C,A31)</f>
        <v>45569</v>
      </c>
      <c r="P31" t="b">
        <f t="shared" si="5"/>
        <v>1</v>
      </c>
    </row>
    <row r="32" spans="1:17" customFormat="1" ht="14.4" x14ac:dyDescent="0.3">
      <c r="A32" s="20" t="str">
        <f>'All Players'!A154</f>
        <v>irvipeaceful</v>
      </c>
      <c r="B32" s="20">
        <f>COUNTIFS(GameStats!C:C,A32,GameStats!D:D,"1",GameStats!B:B,"&gt;="&amp;$Q$1)</f>
        <v>0</v>
      </c>
      <c r="C32" s="20">
        <f>COUNTIFS(GameStats!C:C,A32,GameStats!B:B,"&gt;="&amp;$Q$1)</f>
        <v>8</v>
      </c>
      <c r="D32" s="22">
        <f t="shared" si="0"/>
        <v>0</v>
      </c>
      <c r="E32" s="31">
        <f>SUMIFS(GameStats!D:D,GameStats!C:C,A32,GameStats!B:B,"&gt;="&amp;$Q$1)/C32</f>
        <v>12.625</v>
      </c>
      <c r="F32" s="32">
        <f t="shared" si="1"/>
        <v>0.73756790639364811</v>
      </c>
      <c r="G32" s="20">
        <f>COUNTIFS(GameStats!I:I,A32,GameStats!B:B,"&gt;="&amp;$Q$1)</f>
        <v>6</v>
      </c>
      <c r="H32" s="33">
        <f>SUMIFS(GameStats!F:F,GameStats!C:C,A32,GameStats!B:B,"&gt;="&amp;$Q$1)</f>
        <v>5295</v>
      </c>
      <c r="I32" s="33">
        <f>SUMIFS(GameStats!G:G,GameStats!C:C,A32,GameStats!B:B,"&gt;="&amp;$Q$1)</f>
        <v>7179</v>
      </c>
      <c r="J32" s="33">
        <f t="shared" si="2"/>
        <v>661.875</v>
      </c>
      <c r="K32" s="33">
        <f t="shared" si="3"/>
        <v>897.375</v>
      </c>
      <c r="L32" s="32">
        <f t="shared" si="4"/>
        <v>0.75</v>
      </c>
      <c r="M32" s="29">
        <f>('Elo model'!$E$14*PlayerStats!D154) + ('Elo model'!$F$14*(1/PlayerStats!E154)) + ('Elo model'!$G$14*(PlayerStats!F154/1.75)) + ('Elo model'!$H$14*(PlayerStats!L154/4))</f>
        <v>8.8595659502739149E-2</v>
      </c>
      <c r="N32" s="21">
        <f>_xlfn.MINIFS(GameStats!B:B,GameStats!C:C,A32)</f>
        <v>45394</v>
      </c>
      <c r="O32" s="21">
        <f>_xlfn.MAXIFS(GameStats!B:B,GameStats!C:C,A32)</f>
        <v>45569</v>
      </c>
      <c r="P32" t="b">
        <f t="shared" si="5"/>
        <v>1</v>
      </c>
    </row>
    <row r="33" spans="1:17" customFormat="1" ht="14.4" x14ac:dyDescent="0.3">
      <c r="A33" s="20" t="str">
        <f>'All Players'!A129</f>
        <v>untildeath</v>
      </c>
      <c r="B33" s="20">
        <f>COUNTIFS(GameStats!C:C,A33,GameStats!D:D,"1",GameStats!B:B,"&gt;="&amp;$Q$1)</f>
        <v>0</v>
      </c>
      <c r="C33" s="20">
        <f>COUNTIFS(GameStats!C:C,A33,GameStats!B:B,"&gt;="&amp;$Q$1)</f>
        <v>7</v>
      </c>
      <c r="D33" s="22">
        <f t="shared" si="0"/>
        <v>0</v>
      </c>
      <c r="E33" s="31">
        <f>SUMIFS(GameStats!D:D,GameStats!C:C,A33,GameStats!B:B,"&gt;="&amp;$Q$1)/C33</f>
        <v>12.857142857142858</v>
      </c>
      <c r="F33" s="32">
        <f t="shared" si="1"/>
        <v>0.74129172714078373</v>
      </c>
      <c r="G33" s="20">
        <f>COUNTIFS(GameStats!I:I,A33,GameStats!B:B,"&gt;="&amp;$Q$1)</f>
        <v>8</v>
      </c>
      <c r="H33" s="33">
        <f>SUMIFS(GameStats!F:F,GameStats!C:C,A33,GameStats!B:B,"&gt;="&amp;$Q$1)</f>
        <v>10215</v>
      </c>
      <c r="I33" s="33">
        <f>SUMIFS(GameStats!G:G,GameStats!C:C,A33,GameStats!B:B,"&gt;="&amp;$Q$1)</f>
        <v>13780</v>
      </c>
      <c r="J33" s="33">
        <f t="shared" si="2"/>
        <v>1459.2857142857142</v>
      </c>
      <c r="K33" s="33">
        <f t="shared" si="3"/>
        <v>1968.5714285714287</v>
      </c>
      <c r="L33" s="32">
        <f t="shared" si="4"/>
        <v>1.1428571428571428</v>
      </c>
      <c r="M33" s="29">
        <f>('Elo model'!$E$14*PlayerStats!D129) + ('Elo model'!$F$14*(1/PlayerStats!E129)) + ('Elo model'!$G$14*(PlayerStats!F129/1.75)) + ('Elo model'!$H$14*(PlayerStats!L129/4))</f>
        <v>0.1357352018406191</v>
      </c>
      <c r="N33" s="21">
        <f>_xlfn.MINIFS(GameStats!B:B,GameStats!C:C,A33)</f>
        <v>45366</v>
      </c>
      <c r="O33" s="21">
        <f>_xlfn.MAXIFS(GameStats!B:B,GameStats!C:C,A33)</f>
        <v>45541</v>
      </c>
      <c r="P33" t="b">
        <f t="shared" si="5"/>
        <v>1</v>
      </c>
    </row>
    <row r="34" spans="1:17" ht="14.4" x14ac:dyDescent="0.3">
      <c r="A34" s="20" t="str">
        <f>'All Players'!A138</f>
        <v>heckman</v>
      </c>
      <c r="B34" s="20">
        <f>COUNTIFS(GameStats!C:C,A34,GameStats!D:D,"1",GameStats!B:B,"&gt;="&amp;$Q$1)</f>
        <v>0</v>
      </c>
      <c r="C34" s="20">
        <f>COUNTIFS(GameStats!C:C,A34,GameStats!B:B,"&gt;="&amp;$Q$1)</f>
        <v>7</v>
      </c>
      <c r="D34" s="22">
        <f t="shared" si="0"/>
        <v>0</v>
      </c>
      <c r="E34" s="31">
        <f>SUMIFS(GameStats!D:D,GameStats!C:C,A34,GameStats!B:B,"&gt;="&amp;$Q$1)/C34</f>
        <v>13.285714285714286</v>
      </c>
      <c r="F34" s="32">
        <f t="shared" si="1"/>
        <v>0.89080367208890321</v>
      </c>
      <c r="G34" s="20">
        <f>COUNTIFS(GameStats!I:I,A34,GameStats!B:B,"&gt;="&amp;$Q$1)</f>
        <v>2</v>
      </c>
      <c r="H34" s="33">
        <f>SUMIFS(GameStats!F:F,GameStats!C:C,A34,GameStats!B:B,"&gt;="&amp;$Q$1)</f>
        <v>5531</v>
      </c>
      <c r="I34" s="33">
        <f>SUMIFS(GameStats!G:G,GameStats!C:C,A34,GameStats!B:B,"&gt;="&amp;$Q$1)</f>
        <v>6209</v>
      </c>
      <c r="J34" s="33">
        <f t="shared" si="2"/>
        <v>790.14285714285711</v>
      </c>
      <c r="K34" s="33">
        <f t="shared" si="3"/>
        <v>887</v>
      </c>
      <c r="L34" s="32">
        <f t="shared" si="4"/>
        <v>0.2857142857142857</v>
      </c>
      <c r="M34" s="29">
        <f>('Elo model'!$E$14*PlayerStats!D138) + ('Elo model'!$F$14*(1/PlayerStats!E138)) + ('Elo model'!$G$14*(PlayerStats!F138/1.75)) + ('Elo model'!$H$14*(PlayerStats!L138/4))</f>
        <v>8.5392456676860351E-2</v>
      </c>
      <c r="N34" s="21">
        <f>_xlfn.MINIFS(GameStats!B:B,GameStats!C:C,A34)</f>
        <v>45373</v>
      </c>
      <c r="O34" s="21">
        <f>_xlfn.MAXIFS(GameStats!B:B,GameStats!C:C,A34)</f>
        <v>45443</v>
      </c>
      <c r="P34" t="b">
        <f t="shared" si="5"/>
        <v>1</v>
      </c>
    </row>
    <row r="35" spans="1:17" customFormat="1" ht="14.4" x14ac:dyDescent="0.3">
      <c r="A35" s="20" t="str">
        <f>'All Players'!A84</f>
        <v>tbatch1</v>
      </c>
      <c r="B35" s="20">
        <f>COUNTIFS(GameStats!C:C,A35,GameStats!D:D,"1",GameStats!B:B,"&gt;="&amp;$Q$1)</f>
        <v>0</v>
      </c>
      <c r="C35" s="20">
        <f>COUNTIFS(GameStats!C:C,A35,GameStats!B:B,"&gt;="&amp;$Q$1)</f>
        <v>7</v>
      </c>
      <c r="D35" s="22">
        <f t="shared" si="0"/>
        <v>0</v>
      </c>
      <c r="E35" s="31">
        <f>SUMIFS(GameStats!D:D,GameStats!C:C,A35,GameStats!B:B,"&gt;="&amp;$Q$1)/C35</f>
        <v>15.142857142857142</v>
      </c>
      <c r="F35" s="32">
        <f t="shared" si="1"/>
        <v>0.6542553191489362</v>
      </c>
      <c r="G35" s="20">
        <f>COUNTIFS(GameStats!I:I,A35,GameStats!B:B,"&gt;="&amp;$Q$1)</f>
        <v>3</v>
      </c>
      <c r="H35" s="33">
        <f>SUMIFS(GameStats!F:F,GameStats!C:C,A35,GameStats!B:B,"&gt;="&amp;$Q$1)</f>
        <v>1968</v>
      </c>
      <c r="I35" s="33">
        <f>SUMIFS(GameStats!G:G,GameStats!C:C,A35,GameStats!B:B,"&gt;="&amp;$Q$1)</f>
        <v>3008</v>
      </c>
      <c r="J35" s="33">
        <f t="shared" si="2"/>
        <v>281.14285714285717</v>
      </c>
      <c r="K35" s="33">
        <f t="shared" si="3"/>
        <v>429.71428571428572</v>
      </c>
      <c r="L35" s="32">
        <f t="shared" si="4"/>
        <v>0.42857142857142855</v>
      </c>
      <c r="M35" s="29">
        <f>('Elo model'!$E$14*PlayerStats!D84) + ('Elo model'!$F$14*(1/PlayerStats!E84)) + ('Elo model'!$G$14*(PlayerStats!F84/1.75)) + ('Elo model'!$H$14*(PlayerStats!L84/4))</f>
        <v>0.31186036515197463</v>
      </c>
      <c r="N35" s="21">
        <f>_xlfn.MINIFS(GameStats!B:B,GameStats!C:C,A35)</f>
        <v>45016</v>
      </c>
      <c r="O35" s="21">
        <f>_xlfn.MAXIFS(GameStats!B:B,GameStats!C:C,A35)</f>
        <v>45548</v>
      </c>
      <c r="P35" t="b">
        <f t="shared" si="5"/>
        <v>1</v>
      </c>
    </row>
    <row r="36" spans="1:17" customFormat="1" ht="14.4" x14ac:dyDescent="0.3">
      <c r="A36" s="20" t="str">
        <f>'All Players'!A204</f>
        <v>Schneejager</v>
      </c>
      <c r="B36" s="20">
        <f>COUNTIFS(GameStats!C:C,A36,GameStats!D:D,"1",GameStats!B:B,"&gt;="&amp;$Q$1)</f>
        <v>0</v>
      </c>
      <c r="C36" s="20">
        <f>COUNTIFS(GameStats!C:C,A36,GameStats!B:B,"&gt;="&amp;$Q$1)</f>
        <v>6</v>
      </c>
      <c r="D36" s="22">
        <f t="shared" si="0"/>
        <v>0</v>
      </c>
      <c r="E36" s="31">
        <f>SUMIFS(GameStats!D:D,GameStats!C:C,A36,GameStats!B:B,"&gt;="&amp;$Q$1)/C36</f>
        <v>7.333333333333333</v>
      </c>
      <c r="F36" s="32">
        <f t="shared" si="1"/>
        <v>0.90980930587337905</v>
      </c>
      <c r="G36" s="20">
        <f>COUNTIFS(GameStats!I:I,A36,GameStats!B:B,"&gt;="&amp;$Q$1)</f>
        <v>12</v>
      </c>
      <c r="H36" s="33">
        <f>SUMIFS(GameStats!F:F,GameStats!C:C,A36,GameStats!B:B,"&gt;="&amp;$Q$1)</f>
        <v>29819</v>
      </c>
      <c r="I36" s="33">
        <f>SUMIFS(GameStats!G:G,GameStats!C:C,A36,GameStats!B:B,"&gt;="&amp;$Q$1)</f>
        <v>32775</v>
      </c>
      <c r="J36" s="33">
        <f t="shared" si="2"/>
        <v>4969.833333333333</v>
      </c>
      <c r="K36" s="33">
        <f t="shared" si="3"/>
        <v>5462.5</v>
      </c>
      <c r="L36" s="32">
        <f t="shared" si="4"/>
        <v>2</v>
      </c>
      <c r="M36" s="29">
        <f>('Elo model'!$E$14*PlayerStats!D204) + ('Elo model'!$F$14*(1/PlayerStats!E204)) + ('Elo model'!$G$14*(PlayerStats!F204/1.75)) + ('Elo model'!$H$14*(PlayerStats!L204/4))</f>
        <v>5.3666921313980126E-2</v>
      </c>
      <c r="N36" s="21">
        <f>_xlfn.MINIFS(GameStats!B:B,GameStats!C:C,A36)</f>
        <v>45443</v>
      </c>
      <c r="O36" s="21">
        <f>_xlfn.MAXIFS(GameStats!B:B,GameStats!C:C,A36)</f>
        <v>45569</v>
      </c>
      <c r="P36" t="b">
        <f t="shared" si="5"/>
        <v>1</v>
      </c>
    </row>
    <row r="37" spans="1:17" customFormat="1" ht="14.4" x14ac:dyDescent="0.3">
      <c r="A37" s="20" t="str">
        <f>'All Players'!A38</f>
        <v>Jirenuber</v>
      </c>
      <c r="B37" s="20">
        <f>COUNTIFS(GameStats!C:C,A37,GameStats!D:D,"1",GameStats!B:B,"&gt;="&amp;$Q$1)</f>
        <v>1</v>
      </c>
      <c r="C37" s="20">
        <f>COUNTIFS(GameStats!C:C,A37,GameStats!B:B,"&gt;="&amp;$Q$1)</f>
        <v>6</v>
      </c>
      <c r="D37" s="22">
        <f t="shared" si="0"/>
        <v>0.16666666666666666</v>
      </c>
      <c r="E37" s="31">
        <f>SUMIFS(GameStats!D:D,GameStats!C:C,A37,GameStats!B:B,"&gt;="&amp;$Q$1)/C37</f>
        <v>8</v>
      </c>
      <c r="F37" s="32">
        <f t="shared" si="1"/>
        <v>0.93534718425369057</v>
      </c>
      <c r="G37" s="20">
        <f>COUNTIFS(GameStats!I:I,A37,GameStats!B:B,"&gt;="&amp;$Q$1)</f>
        <v>4</v>
      </c>
      <c r="H37" s="33">
        <f>SUMIFS(GameStats!F:F,GameStats!C:C,A37,GameStats!B:B,"&gt;="&amp;$Q$1)</f>
        <v>13686</v>
      </c>
      <c r="I37" s="33">
        <f>SUMIFS(GameStats!G:G,GameStats!C:C,A37,GameStats!B:B,"&gt;="&amp;$Q$1)</f>
        <v>14632</v>
      </c>
      <c r="J37" s="33">
        <f t="shared" si="2"/>
        <v>2281</v>
      </c>
      <c r="K37" s="33">
        <f t="shared" si="3"/>
        <v>2438.6666666666665</v>
      </c>
      <c r="L37" s="32">
        <f t="shared" si="4"/>
        <v>0.66666666666666663</v>
      </c>
      <c r="M37" s="29">
        <f>('Elo model'!$E$14*PlayerStats!D38) + ('Elo model'!$F$14*(1/PlayerStats!E38)) + ('Elo model'!$G$14*PlayerStats!F38) + ('Elo model'!$H$14*(PlayerStats!L38/4))</f>
        <v>0.15459850606909428</v>
      </c>
      <c r="N37" s="21">
        <f>_xlfn.MINIFS(GameStats!B:B,GameStats!C:C,A37)</f>
        <v>44988</v>
      </c>
      <c r="O37" s="21">
        <f>_xlfn.MAXIFS(GameStats!B:B,GameStats!C:C,A37)</f>
        <v>45499</v>
      </c>
      <c r="P37" t="b">
        <f t="shared" si="5"/>
        <v>1</v>
      </c>
    </row>
    <row r="38" spans="1:17" customFormat="1" ht="14.4" x14ac:dyDescent="0.3">
      <c r="A38" s="20" t="str">
        <f>'All Players'!A220</f>
        <v>merton</v>
      </c>
      <c r="B38" s="20">
        <f>COUNTIFS(GameStats!C:C,A38,GameStats!D:D,"1",GameStats!B:B,"&gt;="&amp;$Q$1)</f>
        <v>0</v>
      </c>
      <c r="C38" s="20">
        <f>COUNTIFS(GameStats!C:C,A38,GameStats!B:B,"&gt;="&amp;$Q$1)</f>
        <v>6</v>
      </c>
      <c r="D38" s="22">
        <f t="shared" si="0"/>
        <v>0</v>
      </c>
      <c r="E38" s="31">
        <f>SUMIFS(GameStats!D:D,GameStats!C:C,A38,GameStats!B:B,"&gt;="&amp;$Q$1)/C38</f>
        <v>11.333333333333334</v>
      </c>
      <c r="F38" s="32">
        <f t="shared" si="1"/>
        <v>0.82804232804232802</v>
      </c>
      <c r="G38" s="20">
        <f>COUNTIFS(GameStats!I:I,A38,GameStats!B:B,"&gt;="&amp;$Q$1)</f>
        <v>2</v>
      </c>
      <c r="H38" s="33">
        <f>SUMIFS(GameStats!F:F,GameStats!C:C,A38,GameStats!B:B,"&gt;="&amp;$Q$1)</f>
        <v>1565</v>
      </c>
      <c r="I38" s="33">
        <f>SUMIFS(GameStats!G:G,GameStats!C:C,A38,GameStats!B:B,"&gt;="&amp;$Q$1)</f>
        <v>1890</v>
      </c>
      <c r="J38" s="33">
        <f t="shared" si="2"/>
        <v>260.83333333333331</v>
      </c>
      <c r="K38" s="33">
        <f t="shared" si="3"/>
        <v>315</v>
      </c>
      <c r="L38" s="32">
        <f t="shared" si="4"/>
        <v>0.33333333333333331</v>
      </c>
      <c r="M38" s="29">
        <f>('Elo model'!$E$14*PlayerStats!D220) + ('Elo model'!$F$14*(1/PlayerStats!E220)) + ('Elo model'!$G$14*(PlayerStats!F220/1.75)) + ('Elo model'!$H$14*(PlayerStats!L220/4))</f>
        <v>6.811629413670231E-2</v>
      </c>
      <c r="N38" s="21">
        <f>_xlfn.MINIFS(GameStats!B:B,GameStats!C:C,A38)</f>
        <v>45457</v>
      </c>
      <c r="O38" s="21">
        <f>_xlfn.MAXIFS(GameStats!B:B,GameStats!C:C,A38)</f>
        <v>45541</v>
      </c>
      <c r="P38" t="b">
        <f t="shared" si="5"/>
        <v>1</v>
      </c>
    </row>
    <row r="39" spans="1:17" customFormat="1" ht="14.4" x14ac:dyDescent="0.3">
      <c r="A39" s="20" t="str">
        <f>'All Players'!A184</f>
        <v>Circa</v>
      </c>
      <c r="B39" s="20">
        <f>COUNTIFS(GameStats!C:C,A39,GameStats!D:D,"1",GameStats!B:B,"&gt;="&amp;$Q$1)</f>
        <v>0</v>
      </c>
      <c r="C39" s="20">
        <f>COUNTIFS(GameStats!C:C,A39,GameStats!B:B,"&gt;="&amp;$Q$1)</f>
        <v>6</v>
      </c>
      <c r="D39" s="22">
        <f t="shared" si="0"/>
        <v>0</v>
      </c>
      <c r="E39" s="31">
        <f>SUMIFS(GameStats!D:D,GameStats!C:C,A39,GameStats!B:B,"&gt;="&amp;$Q$1)/C39</f>
        <v>12.166666666666666</v>
      </c>
      <c r="F39" s="32">
        <f t="shared" si="1"/>
        <v>0.77469540768509837</v>
      </c>
      <c r="G39" s="20">
        <f>COUNTIFS(GameStats!I:I,A39,GameStats!B:B,"&gt;="&amp;$Q$1)</f>
        <v>4</v>
      </c>
      <c r="H39" s="33">
        <f>SUMIFS(GameStats!F:F,GameStats!C:C,A39,GameStats!B:B,"&gt;="&amp;$Q$1)</f>
        <v>8266</v>
      </c>
      <c r="I39" s="33">
        <f>SUMIFS(GameStats!G:G,GameStats!C:C,A39,GameStats!B:B,"&gt;="&amp;$Q$1)</f>
        <v>10670</v>
      </c>
      <c r="J39" s="33">
        <f t="shared" si="2"/>
        <v>1377.6666666666667</v>
      </c>
      <c r="K39" s="33">
        <f t="shared" si="3"/>
        <v>1778.3333333333333</v>
      </c>
      <c r="L39" s="32">
        <f t="shared" si="4"/>
        <v>0.66666666666666663</v>
      </c>
      <c r="M39" s="29">
        <f>('Elo model'!$E$14*PlayerStats!D184) + ('Elo model'!$F$14*(1/PlayerStats!E184)) + ('Elo model'!$G$14*(PlayerStats!F184/1.75)) + ('Elo model'!$H$14*(PlayerStats!L184/4))</f>
        <v>6.4786967418546365E-2</v>
      </c>
      <c r="N39" s="21">
        <f>_xlfn.MINIFS(GameStats!B:B,GameStats!C:C,A39)</f>
        <v>45422</v>
      </c>
      <c r="O39" s="21">
        <f>_xlfn.MAXIFS(GameStats!B:B,GameStats!C:C,A39)</f>
        <v>45527</v>
      </c>
      <c r="P39" t="b">
        <f t="shared" si="5"/>
        <v>1</v>
      </c>
    </row>
    <row r="40" spans="1:17" customFormat="1" ht="14.4" x14ac:dyDescent="0.3">
      <c r="A40" s="20" t="str">
        <f>'All Players'!A180</f>
        <v>CREATION</v>
      </c>
      <c r="B40" s="20">
        <f>COUNTIFS(GameStats!C:C,A40,GameStats!D:D,"1",GameStats!B:B,"&gt;="&amp;$Q$1)</f>
        <v>0</v>
      </c>
      <c r="C40" s="20">
        <f>COUNTIFS(GameStats!C:C,A40,GameStats!B:B,"&gt;="&amp;$Q$1)</f>
        <v>6</v>
      </c>
      <c r="D40" s="22">
        <f t="shared" si="0"/>
        <v>0</v>
      </c>
      <c r="E40" s="31">
        <f>SUMIFS(GameStats!D:D,GameStats!C:C,A40,GameStats!B:B,"&gt;="&amp;$Q$1)/C40</f>
        <v>12.333333333333334</v>
      </c>
      <c r="F40" s="32">
        <f t="shared" si="1"/>
        <v>0.95532313644882416</v>
      </c>
      <c r="G40" s="20">
        <f>COUNTIFS(GameStats!I:I,A40,GameStats!B:B,"&gt;="&amp;$Q$1)</f>
        <v>1</v>
      </c>
      <c r="H40" s="33">
        <f>SUMIFS(GameStats!F:F,GameStats!C:C,A40,GameStats!B:B,"&gt;="&amp;$Q$1)</f>
        <v>15802</v>
      </c>
      <c r="I40" s="33">
        <f>SUMIFS(GameStats!G:G,GameStats!C:C,A40,GameStats!B:B,"&gt;="&amp;$Q$1)</f>
        <v>16541</v>
      </c>
      <c r="J40" s="33">
        <f t="shared" si="2"/>
        <v>2633.6666666666665</v>
      </c>
      <c r="K40" s="33">
        <f t="shared" si="3"/>
        <v>2756.8333333333335</v>
      </c>
      <c r="L40" s="32">
        <f t="shared" si="4"/>
        <v>0.16666666666666666</v>
      </c>
      <c r="M40" s="29">
        <f>('Elo model'!$E$14*PlayerStats!D180) + ('Elo model'!$F$14*(1/PlayerStats!E180)) + ('Elo model'!$G$14*(PlayerStats!F180/1.75)) + ('Elo model'!$H$14*(PlayerStats!L180/4))</f>
        <v>5.340136054421768E-2</v>
      </c>
      <c r="N40" s="21">
        <f>_xlfn.MINIFS(GameStats!B:B,GameStats!C:C,A40)</f>
        <v>45415</v>
      </c>
      <c r="O40" s="21">
        <f>_xlfn.MAXIFS(GameStats!B:B,GameStats!C:C,A40)</f>
        <v>45534</v>
      </c>
      <c r="P40" t="b">
        <f t="shared" si="5"/>
        <v>1</v>
      </c>
    </row>
    <row r="41" spans="1:17" customFormat="1" ht="14.4" x14ac:dyDescent="0.3">
      <c r="A41" s="20" t="str">
        <f>'All Players'!A261</f>
        <v>imawesome</v>
      </c>
      <c r="B41" s="20">
        <f>COUNTIFS(GameStats!C:C,A41,GameStats!D:D,"1",GameStats!B:B,"&gt;="&amp;$Q$1)</f>
        <v>0</v>
      </c>
      <c r="C41" s="20">
        <f>COUNTIFS(GameStats!C:C,A41,GameStats!B:B,"&gt;="&amp;$Q$1)</f>
        <v>6</v>
      </c>
      <c r="D41" s="22">
        <f t="shared" si="0"/>
        <v>0</v>
      </c>
      <c r="E41" s="31">
        <f>SUMIFS(GameStats!D:D,GameStats!C:C,A41,GameStats!B:B,"&gt;="&amp;$Q$1)/C41</f>
        <v>13.333333333333334</v>
      </c>
      <c r="F41" s="32">
        <f t="shared" si="1"/>
        <v>0.89449207963958732</v>
      </c>
      <c r="G41" s="20">
        <f>COUNTIFS(GameStats!I:I,A41,GameStats!B:B,"&gt;="&amp;$Q$1)</f>
        <v>4</v>
      </c>
      <c r="H41" s="33">
        <f>SUMIFS(GameStats!F:F,GameStats!C:C,A41,GameStats!B:B,"&gt;="&amp;$Q$1)</f>
        <v>12310</v>
      </c>
      <c r="I41" s="33">
        <f>SUMIFS(GameStats!G:G,GameStats!C:C,A41,GameStats!B:B,"&gt;="&amp;$Q$1)</f>
        <v>13762</v>
      </c>
      <c r="J41" s="33">
        <f t="shared" si="2"/>
        <v>2051.6666666666665</v>
      </c>
      <c r="K41" s="33">
        <f t="shared" si="3"/>
        <v>2293.6666666666665</v>
      </c>
      <c r="L41" s="32">
        <f t="shared" si="4"/>
        <v>0.66666666666666663</v>
      </c>
      <c r="M41" s="29">
        <f>('Elo model'!$E$14*PlayerStats!D261) + ('Elo model'!$F$14*(1/PlayerStats!E261)) + ('Elo model'!$G$14*(PlayerStats!F261/1.75)) + ('Elo model'!$H$14*(PlayerStats!L261/4))</f>
        <v>0.11190476190476191</v>
      </c>
      <c r="N41" s="21">
        <f>_xlfn.MINIFS(GameStats!B:B,GameStats!C:C,A41)</f>
        <v>45513</v>
      </c>
      <c r="O41" s="21">
        <f>_xlfn.MAXIFS(GameStats!B:B,GameStats!C:C,A41)</f>
        <v>45555</v>
      </c>
      <c r="P41" t="b">
        <f t="shared" si="5"/>
        <v>1</v>
      </c>
    </row>
    <row r="42" spans="1:17" customFormat="1" ht="14.4" x14ac:dyDescent="0.3">
      <c r="A42" s="20" t="str">
        <f>'All Players'!A136</f>
        <v>yoboiskittle</v>
      </c>
      <c r="B42" s="20">
        <f>COUNTIFS(GameStats!C:C,A42,GameStats!D:D,"1",GameStats!B:B,"&gt;="&amp;$Q$1)</f>
        <v>0</v>
      </c>
      <c r="C42" s="20">
        <f>COUNTIFS(GameStats!C:C,A42,GameStats!B:B,"&gt;="&amp;$Q$1)</f>
        <v>6</v>
      </c>
      <c r="D42" s="22">
        <f t="shared" si="0"/>
        <v>0</v>
      </c>
      <c r="E42" s="31">
        <f>SUMIFS(GameStats!D:D,GameStats!C:C,A42,GameStats!B:B,"&gt;="&amp;$Q$1)/C42</f>
        <v>13.666666666666666</v>
      </c>
      <c r="F42" s="32">
        <f t="shared" si="1"/>
        <v>0.51992670636738436</v>
      </c>
      <c r="G42" s="20">
        <f>COUNTIFS(GameStats!I:I,A42,GameStats!B:B,"&gt;="&amp;$Q$1)</f>
        <v>3</v>
      </c>
      <c r="H42" s="33">
        <f>SUMIFS(GameStats!F:F,GameStats!C:C,A42,GameStats!B:B,"&gt;="&amp;$Q$1)</f>
        <v>1135</v>
      </c>
      <c r="I42" s="33">
        <f>SUMIFS(GameStats!G:G,GameStats!C:C,A42,GameStats!B:B,"&gt;="&amp;$Q$1)</f>
        <v>2183</v>
      </c>
      <c r="J42" s="33">
        <f t="shared" si="2"/>
        <v>189.16666666666666</v>
      </c>
      <c r="K42" s="33">
        <f t="shared" si="3"/>
        <v>363.83333333333331</v>
      </c>
      <c r="L42" s="32">
        <f t="shared" si="4"/>
        <v>0.5</v>
      </c>
      <c r="M42" s="29">
        <f>('Elo model'!$E$14*PlayerStats!D136) + ('Elo model'!$F$14*(1/PlayerStats!E136)) + ('Elo model'!$G$14*(PlayerStats!F136/1.75)) + ('Elo model'!$H$14*(PlayerStats!L136/4))</f>
        <v>8.0598127600554792E-2</v>
      </c>
      <c r="N42" s="21">
        <f>_xlfn.MINIFS(GameStats!B:B,GameStats!C:C,A42)</f>
        <v>45373</v>
      </c>
      <c r="O42" s="21">
        <f>_xlfn.MAXIFS(GameStats!B:B,GameStats!C:C,A42)</f>
        <v>45520</v>
      </c>
      <c r="P42" t="b">
        <f t="shared" si="5"/>
        <v>1</v>
      </c>
    </row>
    <row r="43" spans="1:17" customFormat="1" ht="14.4" x14ac:dyDescent="0.3">
      <c r="A43" s="20" t="str">
        <f>'All Players'!A164</f>
        <v>kingsgambit</v>
      </c>
      <c r="B43" s="20">
        <f>COUNTIFS(GameStats!C:C,A43,GameStats!D:D,"1",GameStats!B:B,"&gt;="&amp;$Q$1)</f>
        <v>0</v>
      </c>
      <c r="C43" s="20">
        <f>COUNTIFS(GameStats!C:C,A43,GameStats!B:B,"&gt;="&amp;$Q$1)</f>
        <v>6</v>
      </c>
      <c r="D43" s="22">
        <f t="shared" si="0"/>
        <v>0</v>
      </c>
      <c r="E43" s="31">
        <f>SUMIFS(GameStats!D:D,GameStats!C:C,A43,GameStats!B:B,"&gt;="&amp;$Q$1)/C43</f>
        <v>16.333333333333332</v>
      </c>
      <c r="F43" s="32">
        <f t="shared" si="1"/>
        <v>0.62197092084006467</v>
      </c>
      <c r="G43" s="20">
        <f>COUNTIFS(GameStats!I:I,A43,GameStats!B:B,"&gt;="&amp;$Q$1)</f>
        <v>2</v>
      </c>
      <c r="H43" s="33">
        <f>SUMIFS(GameStats!F:F,GameStats!C:C,A43,GameStats!B:B,"&gt;="&amp;$Q$1)</f>
        <v>770</v>
      </c>
      <c r="I43" s="33">
        <f>SUMIFS(GameStats!G:G,GameStats!C:C,A43,GameStats!B:B,"&gt;="&amp;$Q$1)</f>
        <v>1238</v>
      </c>
      <c r="J43" s="33">
        <f t="shared" si="2"/>
        <v>128.33333333333334</v>
      </c>
      <c r="K43" s="33">
        <f t="shared" si="3"/>
        <v>206.33333333333334</v>
      </c>
      <c r="L43" s="32">
        <f t="shared" si="4"/>
        <v>0.33333333333333331</v>
      </c>
      <c r="M43" s="29">
        <f>('Elo model'!$E$14*PlayerStats!D164) + ('Elo model'!$F$14*(1/PlayerStats!E164)) + ('Elo model'!$G$14*(PlayerStats!F164/1.75)) + ('Elo model'!$H$14*(PlayerStats!L164/4))</f>
        <v>7.8228913943199668E-2</v>
      </c>
      <c r="N43" s="21">
        <f>_xlfn.MINIFS(GameStats!B:B,GameStats!C:C,A43)</f>
        <v>45401</v>
      </c>
      <c r="O43" s="21">
        <f>_xlfn.MAXIFS(GameStats!B:B,GameStats!C:C,A43)</f>
        <v>45569</v>
      </c>
      <c r="P43" t="b">
        <f t="shared" si="5"/>
        <v>1</v>
      </c>
      <c r="Q43" s="20"/>
    </row>
    <row r="44" spans="1:17" customFormat="1" ht="14.4" x14ac:dyDescent="0.3">
      <c r="A44" s="20" t="str">
        <f>'All Players'!A3</f>
        <v>Osb</v>
      </c>
      <c r="B44" s="20">
        <f>COUNTIFS(GameStats!C:C,A44,GameStats!D:D,"1",GameStats!B:B,"&gt;="&amp;$Q$1)</f>
        <v>0</v>
      </c>
      <c r="C44" s="20">
        <f>COUNTIFS(GameStats!C:C,A44,GameStats!B:B,"&gt;="&amp;$Q$1)</f>
        <v>5</v>
      </c>
      <c r="D44" s="22">
        <f t="shared" si="0"/>
        <v>0</v>
      </c>
      <c r="E44" s="31">
        <f>SUMIFS(GameStats!D:D,GameStats!C:C,A44,GameStats!B:B,"&gt;="&amp;$Q$1)/C44</f>
        <v>3.6</v>
      </c>
      <c r="F44" s="32">
        <f t="shared" si="1"/>
        <v>1.1504632344318049</v>
      </c>
      <c r="G44" s="20">
        <f>COUNTIFS(GameStats!I:I,A44,GameStats!B:B,"&gt;="&amp;$Q$1)</f>
        <v>0</v>
      </c>
      <c r="H44" s="33">
        <f>SUMIFS(GameStats!F:F,GameStats!C:C,A44,GameStats!B:B,"&gt;="&amp;$Q$1)</f>
        <v>19620</v>
      </c>
      <c r="I44" s="33">
        <f>SUMIFS(GameStats!G:G,GameStats!C:C,A44,GameStats!B:B,"&gt;="&amp;$Q$1)</f>
        <v>17054</v>
      </c>
      <c r="J44" s="33">
        <f t="shared" si="2"/>
        <v>3924</v>
      </c>
      <c r="K44" s="33">
        <f t="shared" si="3"/>
        <v>3410.8</v>
      </c>
      <c r="L44" s="32">
        <f t="shared" si="4"/>
        <v>0</v>
      </c>
      <c r="M44" s="29">
        <f>('Elo model'!$E$14*PlayerStats!D3) + ('Elo model'!$F$14*(1/PlayerStats!E3)) + ('Elo model'!$G$14*(PlayerStats!F3/1.75)) + ('Elo model'!$H$14*(PlayerStats!L3/4))</f>
        <v>0.12212558608436098</v>
      </c>
      <c r="N44" s="21">
        <f>_xlfn.MINIFS(GameStats!B:B,GameStats!C:C,A44)</f>
        <v>44967</v>
      </c>
      <c r="O44" s="21">
        <f>_xlfn.MAXIFS(GameStats!B:B,GameStats!C:C,A44)</f>
        <v>45037</v>
      </c>
      <c r="P44" t="b">
        <f t="shared" si="5"/>
        <v>1</v>
      </c>
    </row>
    <row r="45" spans="1:17" ht="14.4" x14ac:dyDescent="0.3">
      <c r="A45" s="20" t="str">
        <f>'All Players'!A171</f>
        <v>madmartigan</v>
      </c>
      <c r="B45" s="20">
        <f>COUNTIFS(GameStats!C:C,A45,GameStats!D:D,"1",GameStats!B:B,"&gt;="&amp;$Q$1)</f>
        <v>0</v>
      </c>
      <c r="C45" s="20">
        <f>COUNTIFS(GameStats!C:C,A45,GameStats!B:B,"&gt;="&amp;$Q$1)</f>
        <v>5</v>
      </c>
      <c r="D45" s="22">
        <f t="shared" si="0"/>
        <v>0</v>
      </c>
      <c r="E45" s="31">
        <f>SUMIFS(GameStats!D:D,GameStats!C:C,A45,GameStats!B:B,"&gt;="&amp;$Q$1)/C45</f>
        <v>3.8</v>
      </c>
      <c r="F45" s="32">
        <f t="shared" si="1"/>
        <v>0.99963990914630774</v>
      </c>
      <c r="G45" s="20">
        <f>COUNTIFS(GameStats!I:I,A45,GameStats!B:B,"&gt;="&amp;$Q$1)</f>
        <v>12</v>
      </c>
      <c r="H45" s="33">
        <f>SUMIFS(GameStats!F:F,GameStats!C:C,A45,GameStats!B:B,"&gt;="&amp;$Q$1)</f>
        <v>36089</v>
      </c>
      <c r="I45" s="33">
        <f>SUMIFS(GameStats!G:G,GameStats!C:C,A45,GameStats!B:B,"&gt;="&amp;$Q$1)</f>
        <v>36102</v>
      </c>
      <c r="J45" s="33">
        <f t="shared" si="2"/>
        <v>7217.8</v>
      </c>
      <c r="K45" s="33">
        <f t="shared" si="3"/>
        <v>7220.4</v>
      </c>
      <c r="L45" s="32">
        <f t="shared" si="4"/>
        <v>2.4</v>
      </c>
      <c r="M45" s="29">
        <f>('Elo model'!$E$14*PlayerStats!D171) + ('Elo model'!$F$14*(1/PlayerStats!E171)) + ('Elo model'!$G$14*(PlayerStats!F171/1.75)) + ('Elo model'!$H$14*(PlayerStats!L171/4))</f>
        <v>9.9213075060532674E-2</v>
      </c>
      <c r="N45" s="21">
        <f>_xlfn.MINIFS(GameStats!B:B,GameStats!C:C,A45)</f>
        <v>45408</v>
      </c>
      <c r="O45" s="21">
        <f>_xlfn.MAXIFS(GameStats!B:B,GameStats!C:C,A45)</f>
        <v>45534</v>
      </c>
      <c r="P45" t="b">
        <f t="shared" si="5"/>
        <v>1</v>
      </c>
    </row>
    <row r="46" spans="1:17" customFormat="1" ht="14.4" x14ac:dyDescent="0.3">
      <c r="A46" s="20" t="str">
        <f>'All Players'!A141</f>
        <v>swanlee</v>
      </c>
      <c r="B46" s="20">
        <f>COUNTIFS(GameStats!C:C,A46,GameStats!D:D,"1",GameStats!B:B,"&gt;="&amp;$Q$1)</f>
        <v>0</v>
      </c>
      <c r="C46" s="20">
        <f>COUNTIFS(GameStats!C:C,A46,GameStats!B:B,"&gt;="&amp;$Q$1)</f>
        <v>5</v>
      </c>
      <c r="D46" s="22">
        <f t="shared" si="0"/>
        <v>0</v>
      </c>
      <c r="E46" s="31">
        <f>SUMIFS(GameStats!D:D,GameStats!C:C,A46,GameStats!B:B,"&gt;="&amp;$Q$1)/C46</f>
        <v>8</v>
      </c>
      <c r="F46" s="32">
        <f t="shared" si="1"/>
        <v>1.0691202006559908</v>
      </c>
      <c r="G46" s="20">
        <f>COUNTIFS(GameStats!I:I,A46,GameStats!B:B,"&gt;="&amp;$Q$1)</f>
        <v>11</v>
      </c>
      <c r="H46" s="33">
        <f>SUMIFS(GameStats!F:F,GameStats!C:C,A46,GameStats!B:B,"&gt;="&amp;$Q$1)</f>
        <v>22165</v>
      </c>
      <c r="I46" s="33">
        <f>SUMIFS(GameStats!G:G,GameStats!C:C,A46,GameStats!B:B,"&gt;="&amp;$Q$1)</f>
        <v>20732</v>
      </c>
      <c r="J46" s="33">
        <f t="shared" si="2"/>
        <v>4433</v>
      </c>
      <c r="K46" s="33">
        <f t="shared" si="3"/>
        <v>4146.3999999999996</v>
      </c>
      <c r="L46" s="32">
        <f t="shared" si="4"/>
        <v>2.2000000000000002</v>
      </c>
      <c r="M46" s="29">
        <f>('Elo model'!$E$14*PlayerStats!D141) + ('Elo model'!$F$14*(1/PlayerStats!E141)) + ('Elo model'!$G$14*(PlayerStats!F141/1.75)) + ('Elo model'!$H$14*(PlayerStats!L141/4))</f>
        <v>0.10028429918333248</v>
      </c>
      <c r="N46" s="21">
        <f>_xlfn.MINIFS(GameStats!B:B,GameStats!C:C,A46)</f>
        <v>45380</v>
      </c>
      <c r="O46" s="21">
        <f>_xlfn.MAXIFS(GameStats!B:B,GameStats!C:C,A46)</f>
        <v>45429</v>
      </c>
      <c r="P46" t="b">
        <f t="shared" si="5"/>
        <v>1</v>
      </c>
      <c r="Q46" s="20"/>
    </row>
    <row r="47" spans="1:17" ht="14.4" x14ac:dyDescent="0.3">
      <c r="A47" s="20" t="str">
        <f>'All Players'!A8</f>
        <v>Skyrone</v>
      </c>
      <c r="B47" s="20">
        <f>COUNTIFS(GameStats!C:C,A47,GameStats!D:D,"1",GameStats!B:B,"&gt;="&amp;$Q$1)</f>
        <v>0</v>
      </c>
      <c r="C47" s="20">
        <f>COUNTIFS(GameStats!C:C,A47,GameStats!B:B,"&gt;="&amp;$Q$1)</f>
        <v>5</v>
      </c>
      <c r="D47" s="22">
        <f t="shared" si="0"/>
        <v>0</v>
      </c>
      <c r="E47" s="31">
        <f>SUMIFS(GameStats!D:D,GameStats!C:C,A47,GameStats!B:B,"&gt;="&amp;$Q$1)/C47</f>
        <v>9</v>
      </c>
      <c r="F47" s="32">
        <f t="shared" si="1"/>
        <v>0.92740740740740746</v>
      </c>
      <c r="G47" s="20">
        <f>COUNTIFS(GameStats!I:I,A47,GameStats!B:B,"&gt;="&amp;$Q$1)</f>
        <v>0</v>
      </c>
      <c r="H47" s="33">
        <f>SUMIFS(GameStats!F:F,GameStats!C:C,A47,GameStats!B:B,"&gt;="&amp;$Q$1)</f>
        <v>1878</v>
      </c>
      <c r="I47" s="33">
        <f>SUMIFS(GameStats!G:G,GameStats!C:C,A47,GameStats!B:B,"&gt;="&amp;$Q$1)</f>
        <v>2025</v>
      </c>
      <c r="J47" s="33">
        <f t="shared" si="2"/>
        <v>375.6</v>
      </c>
      <c r="K47" s="33">
        <f t="shared" si="3"/>
        <v>405</v>
      </c>
      <c r="L47" s="32">
        <f t="shared" si="4"/>
        <v>0</v>
      </c>
      <c r="M47" s="29">
        <f>('Elo model'!$E$14*PlayerStats!D8) + ('Elo model'!$F$14*(1/PlayerStats!E8)) + ('Elo model'!$G$14*PlayerStats!F8) + ('Elo model'!$H$14*(PlayerStats!L8/4))</f>
        <v>0.28837836845688974</v>
      </c>
      <c r="N47" s="21">
        <f>_xlfn.MINIFS(GameStats!B:B,GameStats!C:C,A47)</f>
        <v>44967</v>
      </c>
      <c r="O47" s="21">
        <f>_xlfn.MAXIFS(GameStats!B:B,GameStats!C:C,A47)</f>
        <v>45044</v>
      </c>
      <c r="P47" t="b">
        <f t="shared" si="5"/>
        <v>1</v>
      </c>
      <c r="Q47"/>
    </row>
    <row r="48" spans="1:17" customFormat="1" ht="14.4" x14ac:dyDescent="0.3">
      <c r="A48" s="20" t="str">
        <f>'All Players'!A185</f>
        <v>Radiant</v>
      </c>
      <c r="B48" s="20">
        <f>COUNTIFS(GameStats!C:C,A48,GameStats!D:D,"1",GameStats!B:B,"&gt;="&amp;$Q$1)</f>
        <v>0</v>
      </c>
      <c r="C48" s="20">
        <f>COUNTIFS(GameStats!C:C,A48,GameStats!B:B,"&gt;="&amp;$Q$1)</f>
        <v>5</v>
      </c>
      <c r="D48" s="22">
        <f t="shared" si="0"/>
        <v>0</v>
      </c>
      <c r="E48" s="31">
        <f>SUMIFS(GameStats!D:D,GameStats!C:C,A48,GameStats!B:B,"&gt;="&amp;$Q$1)/C48</f>
        <v>9</v>
      </c>
      <c r="F48" s="32">
        <f t="shared" si="1"/>
        <v>0.87235765773062279</v>
      </c>
      <c r="G48" s="20">
        <f>COUNTIFS(GameStats!I:I,A48,GameStats!B:B,"&gt;="&amp;$Q$1)</f>
        <v>4</v>
      </c>
      <c r="H48" s="33">
        <f>SUMIFS(GameStats!F:F,GameStats!C:C,A48,GameStats!B:B,"&gt;="&amp;$Q$1)</f>
        <v>10771</v>
      </c>
      <c r="I48" s="33">
        <f>SUMIFS(GameStats!G:G,GameStats!C:C,A48,GameStats!B:B,"&gt;="&amp;$Q$1)</f>
        <v>12347</v>
      </c>
      <c r="J48" s="33">
        <f t="shared" si="2"/>
        <v>2154.1999999999998</v>
      </c>
      <c r="K48" s="33">
        <f t="shared" si="3"/>
        <v>2469.4</v>
      </c>
      <c r="L48" s="32">
        <f t="shared" si="4"/>
        <v>0.8</v>
      </c>
      <c r="M48" s="29">
        <f>('Elo model'!$E$14*PlayerStats!D185) + ('Elo model'!$F$14*(1/PlayerStats!E185)) + ('Elo model'!$G$14*(PlayerStats!F185/1.75)) + ('Elo model'!$H$14*(PlayerStats!L185/4))</f>
        <v>5.5865272938443677E-2</v>
      </c>
      <c r="N48" s="21">
        <f>_xlfn.MINIFS(GameStats!B:B,GameStats!C:C,A48)</f>
        <v>45422</v>
      </c>
      <c r="O48" s="21">
        <f>_xlfn.MAXIFS(GameStats!B:B,GameStats!C:C,A48)</f>
        <v>45555</v>
      </c>
      <c r="P48" t="b">
        <f t="shared" si="5"/>
        <v>1</v>
      </c>
    </row>
    <row r="49" spans="1:17" ht="14.4" x14ac:dyDescent="0.3">
      <c r="A49" s="20" t="str">
        <f>'All Players'!A73</f>
        <v>KloXu</v>
      </c>
      <c r="B49" s="20">
        <f>COUNTIFS(GameStats!C:C,A49,GameStats!D:D,"1",GameStats!B:B,"&gt;="&amp;$Q$1)</f>
        <v>0</v>
      </c>
      <c r="C49" s="20">
        <f>COUNTIFS(GameStats!C:C,A49,GameStats!B:B,"&gt;="&amp;$Q$1)</f>
        <v>5</v>
      </c>
      <c r="D49" s="22">
        <f t="shared" si="0"/>
        <v>0</v>
      </c>
      <c r="E49" s="31">
        <f>SUMIFS(GameStats!D:D,GameStats!C:C,A49,GameStats!B:B,"&gt;="&amp;$Q$1)/C49</f>
        <v>10.4</v>
      </c>
      <c r="F49" s="32">
        <f t="shared" si="1"/>
        <v>1.1850976361767729</v>
      </c>
      <c r="G49" s="20">
        <f>COUNTIFS(GameStats!I:I,A49,GameStats!B:B,"&gt;="&amp;$Q$1)</f>
        <v>5</v>
      </c>
      <c r="H49" s="33">
        <f>SUMIFS(GameStats!F:F,GameStats!C:C,A49,GameStats!B:B,"&gt;="&amp;$Q$1)</f>
        <v>23062</v>
      </c>
      <c r="I49" s="33">
        <f>SUMIFS(GameStats!G:G,GameStats!C:C,A49,GameStats!B:B,"&gt;="&amp;$Q$1)</f>
        <v>19460</v>
      </c>
      <c r="J49" s="33">
        <f t="shared" si="2"/>
        <v>4612.3999999999996</v>
      </c>
      <c r="K49" s="33">
        <f t="shared" si="3"/>
        <v>3892</v>
      </c>
      <c r="L49" s="32">
        <f t="shared" si="4"/>
        <v>1</v>
      </c>
      <c r="M49" s="29">
        <f>('Elo model'!$E$14*PlayerStats!D73) + ('Elo model'!$F$14*(1/PlayerStats!E73)) + ('Elo model'!$G$14*(PlayerStats!F73/1.75)) + ('Elo model'!$H$14*(PlayerStats!L73/4))</f>
        <v>0.15490726061008908</v>
      </c>
      <c r="N49" s="21">
        <f>_xlfn.MINIFS(GameStats!B:B,GameStats!C:C,A49)</f>
        <v>45016</v>
      </c>
      <c r="O49" s="21">
        <f>_xlfn.MAXIFS(GameStats!B:B,GameStats!C:C,A49)</f>
        <v>45520</v>
      </c>
      <c r="P49" t="b">
        <f t="shared" si="5"/>
        <v>1</v>
      </c>
      <c r="Q49"/>
    </row>
    <row r="50" spans="1:17" customFormat="1" ht="14.4" x14ac:dyDescent="0.3">
      <c r="A50" s="20" t="str">
        <f>'All Players'!A67</f>
        <v>Finicky</v>
      </c>
      <c r="B50" s="20">
        <f>COUNTIFS(GameStats!C:C,A50,GameStats!D:D,"1",GameStats!B:B,"&gt;="&amp;$Q$1)</f>
        <v>0</v>
      </c>
      <c r="C50" s="20">
        <f>COUNTIFS(GameStats!C:C,A50,GameStats!B:B,"&gt;="&amp;$Q$1)</f>
        <v>5</v>
      </c>
      <c r="D50" s="22">
        <f t="shared" si="0"/>
        <v>0</v>
      </c>
      <c r="E50" s="31">
        <f>SUMIFS(GameStats!D:D,GameStats!C:C,A50,GameStats!B:B,"&gt;="&amp;$Q$1)/C50</f>
        <v>10.6</v>
      </c>
      <c r="F50" s="32">
        <f t="shared" si="1"/>
        <v>1.5135646687697162</v>
      </c>
      <c r="G50" s="20">
        <f>COUNTIFS(GameStats!I:I,A50,GameStats!B:B,"&gt;="&amp;$Q$1)</f>
        <v>4</v>
      </c>
      <c r="H50" s="33">
        <f>SUMIFS(GameStats!F:F,GameStats!C:C,A50,GameStats!B:B,"&gt;="&amp;$Q$1)</f>
        <v>2399</v>
      </c>
      <c r="I50" s="33">
        <f>SUMIFS(GameStats!G:G,GameStats!C:C,A50,GameStats!B:B,"&gt;="&amp;$Q$1)</f>
        <v>1585</v>
      </c>
      <c r="J50" s="33">
        <f t="shared" si="2"/>
        <v>479.8</v>
      </c>
      <c r="K50" s="33">
        <f t="shared" si="3"/>
        <v>317</v>
      </c>
      <c r="L50" s="32">
        <f t="shared" si="4"/>
        <v>0.8</v>
      </c>
      <c r="M50" s="29">
        <f>('Elo model'!$E$14*PlayerStats!D67) + ('Elo model'!$F$14*(1/PlayerStats!E67)) + ('Elo model'!$G$14*(PlayerStats!F67/1.75)) + ('Elo model'!$H$14*(PlayerStats!L67/4))</f>
        <v>7.3317956519605432E-2</v>
      </c>
      <c r="N50" s="21">
        <f>_xlfn.MINIFS(GameStats!B:B,GameStats!C:C,A50)</f>
        <v>45009</v>
      </c>
      <c r="O50" s="21">
        <f>_xlfn.MAXIFS(GameStats!B:B,GameStats!C:C,A50)</f>
        <v>45499</v>
      </c>
      <c r="P50" t="b">
        <f t="shared" si="5"/>
        <v>1</v>
      </c>
      <c r="Q50" s="20"/>
    </row>
    <row r="51" spans="1:17" customFormat="1" ht="14.4" x14ac:dyDescent="0.3">
      <c r="A51" s="20" t="str">
        <f>'All Players'!A167</f>
        <v>risknotlego</v>
      </c>
      <c r="B51" s="20">
        <f>COUNTIFS(GameStats!C:C,A51,GameStats!D:D,"1",GameStats!B:B,"&gt;="&amp;$Q$1)</f>
        <v>0</v>
      </c>
      <c r="C51" s="20">
        <f>COUNTIFS(GameStats!C:C,A51,GameStats!B:B,"&gt;="&amp;$Q$1)</f>
        <v>5</v>
      </c>
      <c r="D51" s="22">
        <f t="shared" si="0"/>
        <v>0</v>
      </c>
      <c r="E51" s="31">
        <f>SUMIFS(GameStats!D:D,GameStats!C:C,A51,GameStats!B:B,"&gt;="&amp;$Q$1)/C51</f>
        <v>10.6</v>
      </c>
      <c r="F51" s="32">
        <f t="shared" si="1"/>
        <v>0.75826517286411432</v>
      </c>
      <c r="G51" s="20">
        <f>COUNTIFS(GameStats!I:I,A51,GameStats!B:B,"&gt;="&amp;$Q$1)</f>
        <v>4</v>
      </c>
      <c r="H51" s="33">
        <f>SUMIFS(GameStats!F:F,GameStats!C:C,A51,GameStats!B:B,"&gt;="&amp;$Q$1)</f>
        <v>11032</v>
      </c>
      <c r="I51" s="33">
        <f>SUMIFS(GameStats!G:G,GameStats!C:C,A51,GameStats!B:B,"&gt;="&amp;$Q$1)</f>
        <v>14549</v>
      </c>
      <c r="J51" s="33">
        <f t="shared" si="2"/>
        <v>2206.4</v>
      </c>
      <c r="K51" s="33">
        <f t="shared" si="3"/>
        <v>2909.8</v>
      </c>
      <c r="L51" s="32">
        <f t="shared" si="4"/>
        <v>0.8</v>
      </c>
      <c r="M51" s="29">
        <f>('Elo model'!$E$14*PlayerStats!D167) + ('Elo model'!$F$14*(1/PlayerStats!E167)) + ('Elo model'!$G$14*(PlayerStats!F167/1.75)) + ('Elo model'!$H$14*(PlayerStats!L167/4))</f>
        <v>7.025371888385587E-2</v>
      </c>
      <c r="N51" s="21">
        <f>_xlfn.MINIFS(GameStats!B:B,GameStats!C:C,A51)</f>
        <v>45401</v>
      </c>
      <c r="O51" s="21">
        <f>_xlfn.MAXIFS(GameStats!B:B,GameStats!C:C,A51)</f>
        <v>45520</v>
      </c>
      <c r="P51" t="b">
        <f t="shared" si="5"/>
        <v>1</v>
      </c>
      <c r="Q51" s="20"/>
    </row>
    <row r="52" spans="1:17" customFormat="1" ht="14.4" x14ac:dyDescent="0.3">
      <c r="A52" s="20" t="str">
        <f>'All Players'!A77</f>
        <v>Nicolai95</v>
      </c>
      <c r="B52" s="20">
        <f>COUNTIFS(GameStats!C:C,A52,GameStats!D:D,"1",GameStats!B:B,"&gt;="&amp;$Q$1)</f>
        <v>0</v>
      </c>
      <c r="C52" s="20">
        <f>COUNTIFS(GameStats!C:C,A52,GameStats!B:B,"&gt;="&amp;$Q$1)</f>
        <v>5</v>
      </c>
      <c r="D52" s="22">
        <f t="shared" si="0"/>
        <v>0</v>
      </c>
      <c r="E52" s="31">
        <f>SUMIFS(GameStats!D:D,GameStats!C:C,A52,GameStats!B:B,"&gt;="&amp;$Q$1)/C52</f>
        <v>10.6</v>
      </c>
      <c r="F52" s="32">
        <f t="shared" si="1"/>
        <v>0.78658079976037143</v>
      </c>
      <c r="G52" s="20">
        <f>COUNTIFS(GameStats!I:I,A52,GameStats!B:B,"&gt;="&amp;$Q$1)</f>
        <v>5</v>
      </c>
      <c r="H52" s="33">
        <f>SUMIFS(GameStats!F:F,GameStats!C:C,A52,GameStats!B:B,"&gt;="&amp;$Q$1)</f>
        <v>5252</v>
      </c>
      <c r="I52" s="33">
        <f>SUMIFS(GameStats!G:G,GameStats!C:C,A52,GameStats!B:B,"&gt;="&amp;$Q$1)</f>
        <v>6677</v>
      </c>
      <c r="J52" s="33">
        <f t="shared" si="2"/>
        <v>1050.4000000000001</v>
      </c>
      <c r="K52" s="33">
        <f t="shared" si="3"/>
        <v>1335.4</v>
      </c>
      <c r="L52" s="32">
        <f t="shared" si="4"/>
        <v>1</v>
      </c>
      <c r="M52" s="29">
        <f>('Elo model'!$E$14*PlayerStats!D77) + ('Elo model'!$F$14*(1/PlayerStats!E77)) + ('Elo model'!$G$14*(PlayerStats!F77/1.75)) + ('Elo model'!$H$14*(PlayerStats!L77/4))</f>
        <v>9.854795655375552E-2</v>
      </c>
      <c r="N52" s="21">
        <f>_xlfn.MINIFS(GameStats!B:B,GameStats!C:C,A52)</f>
        <v>45016</v>
      </c>
      <c r="O52" s="21">
        <f>_xlfn.MAXIFS(GameStats!B:B,GameStats!C:C,A52)</f>
        <v>45387</v>
      </c>
      <c r="P52" t="b">
        <f t="shared" si="5"/>
        <v>1</v>
      </c>
    </row>
    <row r="53" spans="1:17" customFormat="1" ht="14.4" x14ac:dyDescent="0.3">
      <c r="A53" s="20" t="str">
        <f>'All Players'!A200</f>
        <v>Happyfeet</v>
      </c>
      <c r="B53" s="20">
        <f>COUNTIFS(GameStats!C:C,A53,GameStats!D:D,"1",GameStats!B:B,"&gt;="&amp;$Q$1)</f>
        <v>0</v>
      </c>
      <c r="C53" s="20">
        <f>COUNTIFS(GameStats!C:C,A53,GameStats!B:B,"&gt;="&amp;$Q$1)</f>
        <v>5</v>
      </c>
      <c r="D53" s="22">
        <f t="shared" si="0"/>
        <v>0</v>
      </c>
      <c r="E53" s="31">
        <f>SUMIFS(GameStats!D:D,GameStats!C:C,A53,GameStats!B:B,"&gt;="&amp;$Q$1)/C53</f>
        <v>10.8</v>
      </c>
      <c r="F53" s="32">
        <f t="shared" si="1"/>
        <v>0.9544107892991377</v>
      </c>
      <c r="G53" s="20">
        <f>COUNTIFS(GameStats!I:I,A53,GameStats!B:B,"&gt;="&amp;$Q$1)</f>
        <v>7</v>
      </c>
      <c r="H53" s="33">
        <f>SUMIFS(GameStats!F:F,GameStats!C:C,A53,GameStats!B:B,"&gt;="&amp;$Q$1)</f>
        <v>21584</v>
      </c>
      <c r="I53" s="33">
        <f>SUMIFS(GameStats!G:G,GameStats!C:C,A53,GameStats!B:B,"&gt;="&amp;$Q$1)</f>
        <v>22615</v>
      </c>
      <c r="J53" s="33">
        <f t="shared" si="2"/>
        <v>4316.8</v>
      </c>
      <c r="K53" s="33">
        <f t="shared" si="3"/>
        <v>4523</v>
      </c>
      <c r="L53" s="32">
        <f t="shared" si="4"/>
        <v>1.4</v>
      </c>
      <c r="M53" s="29">
        <f>('Elo model'!$E$14*PlayerStats!D200) + ('Elo model'!$F$14*(1/PlayerStats!E200)) + ('Elo model'!$G$14*(PlayerStats!F200/1.75)) + ('Elo model'!$H$14*(PlayerStats!L200/4))</f>
        <v>7.48562582927908E-2</v>
      </c>
      <c r="N53" s="21">
        <f>_xlfn.MINIFS(GameStats!B:B,GameStats!C:C,A53)</f>
        <v>45436</v>
      </c>
      <c r="O53" s="21">
        <f>_xlfn.MAXIFS(GameStats!B:B,GameStats!C:C,A53)</f>
        <v>45527</v>
      </c>
      <c r="P53" t="b">
        <f t="shared" si="5"/>
        <v>1</v>
      </c>
    </row>
    <row r="54" spans="1:17" customFormat="1" ht="14.4" x14ac:dyDescent="0.3">
      <c r="A54" s="20" t="str">
        <f>'All Players'!A83</f>
        <v>Dirican</v>
      </c>
      <c r="B54" s="20">
        <f>COUNTIFS(GameStats!C:C,A54,GameStats!D:D,"1",GameStats!B:B,"&gt;="&amp;$Q$1)</f>
        <v>0</v>
      </c>
      <c r="C54" s="20">
        <f>COUNTIFS(GameStats!C:C,A54,GameStats!B:B,"&gt;="&amp;$Q$1)</f>
        <v>5</v>
      </c>
      <c r="D54" s="22">
        <f t="shared" si="0"/>
        <v>0</v>
      </c>
      <c r="E54" s="31">
        <f>SUMIFS(GameStats!D:D,GameStats!C:C,A54,GameStats!B:B,"&gt;="&amp;$Q$1)/C54</f>
        <v>11.6</v>
      </c>
      <c r="F54" s="32">
        <f t="shared" si="1"/>
        <v>0.92150170648464169</v>
      </c>
      <c r="G54" s="20">
        <f>COUNTIFS(GameStats!I:I,A54,GameStats!B:B,"&gt;="&amp;$Q$1)</f>
        <v>4</v>
      </c>
      <c r="H54" s="33">
        <f>SUMIFS(GameStats!F:F,GameStats!C:C,A54,GameStats!B:B,"&gt;="&amp;$Q$1)</f>
        <v>4590</v>
      </c>
      <c r="I54" s="33">
        <f>SUMIFS(GameStats!G:G,GameStats!C:C,A54,GameStats!B:B,"&gt;="&amp;$Q$1)</f>
        <v>4981</v>
      </c>
      <c r="J54" s="33">
        <f t="shared" si="2"/>
        <v>918</v>
      </c>
      <c r="K54" s="33">
        <f t="shared" si="3"/>
        <v>996.2</v>
      </c>
      <c r="L54" s="32">
        <f t="shared" si="4"/>
        <v>0.8</v>
      </c>
      <c r="M54" s="29">
        <f>('Elo model'!$E$14*PlayerStats!D83) + ('Elo model'!$F$14*(1/PlayerStats!E83)) + ('Elo model'!$G$14*(PlayerStats!F83/1.75)) + ('Elo model'!$H$14*(PlayerStats!L83/4))</f>
        <v>7.7295050753089165E-2</v>
      </c>
      <c r="N54" s="21">
        <f>_xlfn.MINIFS(GameStats!B:B,GameStats!C:C,A54)</f>
        <v>45016</v>
      </c>
      <c r="O54" s="21">
        <f>_xlfn.MAXIFS(GameStats!B:B,GameStats!C:C,A54)</f>
        <v>45450</v>
      </c>
      <c r="P54" t="b">
        <f t="shared" si="5"/>
        <v>1</v>
      </c>
      <c r="Q54" s="20"/>
    </row>
    <row r="55" spans="1:17" customFormat="1" ht="14.4" x14ac:dyDescent="0.3">
      <c r="A55" s="20" t="str">
        <f>'All Players'!A86</f>
        <v>Aventurier</v>
      </c>
      <c r="B55" s="20">
        <f>COUNTIFS(GameStats!C:C,A55,GameStats!D:D,"1",GameStats!B:B,"&gt;="&amp;$Q$1)</f>
        <v>0</v>
      </c>
      <c r="C55" s="20">
        <f>COUNTIFS(GameStats!C:C,A55,GameStats!B:B,"&gt;="&amp;$Q$1)</f>
        <v>5</v>
      </c>
      <c r="D55" s="22">
        <f t="shared" si="0"/>
        <v>0</v>
      </c>
      <c r="E55" s="31">
        <f>SUMIFS(GameStats!D:D,GameStats!C:C,A55,GameStats!B:B,"&gt;="&amp;$Q$1)/C55</f>
        <v>13.8</v>
      </c>
      <c r="F55" s="32">
        <f t="shared" si="1"/>
        <v>0.6190284216891756</v>
      </c>
      <c r="G55" s="20">
        <f>COUNTIFS(GameStats!I:I,A55,GameStats!B:B,"&gt;="&amp;$Q$1)</f>
        <v>2</v>
      </c>
      <c r="H55" s="33">
        <f>SUMIFS(GameStats!F:F,GameStats!C:C,A55,GameStats!B:B,"&gt;="&amp;$Q$1)</f>
        <v>3071</v>
      </c>
      <c r="I55" s="33">
        <f>SUMIFS(GameStats!G:G,GameStats!C:C,A55,GameStats!B:B,"&gt;="&amp;$Q$1)</f>
        <v>4961</v>
      </c>
      <c r="J55" s="33">
        <f t="shared" si="2"/>
        <v>614.20000000000005</v>
      </c>
      <c r="K55" s="33">
        <f t="shared" si="3"/>
        <v>992.2</v>
      </c>
      <c r="L55" s="32">
        <f t="shared" si="4"/>
        <v>0.4</v>
      </c>
      <c r="M55" s="29">
        <f>('Elo model'!$E$14*PlayerStats!D86) + ('Elo model'!$F$14*(1/PlayerStats!E86)) + ('Elo model'!$G$14*(PlayerStats!F86/1.75)) + ('Elo model'!$H$14*(PlayerStats!L86/4))</f>
        <v>7.7365010718751862E-2</v>
      </c>
      <c r="N55" s="21">
        <f>_xlfn.MINIFS(GameStats!B:B,GameStats!C:C,A55)</f>
        <v>45016</v>
      </c>
      <c r="O55" s="21">
        <f>_xlfn.MAXIFS(GameStats!B:B,GameStats!C:C,A55)</f>
        <v>45415</v>
      </c>
      <c r="P55" t="b">
        <f t="shared" si="5"/>
        <v>1</v>
      </c>
    </row>
    <row r="56" spans="1:17" ht="14.4" x14ac:dyDescent="0.3">
      <c r="A56" s="20" t="str">
        <f>'All Players'!A249</f>
        <v>Wolveren</v>
      </c>
      <c r="B56" s="20">
        <f>COUNTIFS(GameStats!C:C,A56,GameStats!D:D,"1",GameStats!B:B,"&gt;="&amp;$Q$1)</f>
        <v>0</v>
      </c>
      <c r="C56" s="20">
        <f>COUNTIFS(GameStats!C:C,A56,GameStats!B:B,"&gt;="&amp;$Q$1)</f>
        <v>5</v>
      </c>
      <c r="D56" s="22">
        <f t="shared" si="0"/>
        <v>0</v>
      </c>
      <c r="E56" s="31">
        <f>SUMIFS(GameStats!D:D,GameStats!C:C,A56,GameStats!B:B,"&gt;="&amp;$Q$1)/C56</f>
        <v>19.399999999999999</v>
      </c>
      <c r="F56" s="32">
        <f t="shared" si="1"/>
        <v>0.54414125200642049</v>
      </c>
      <c r="G56" s="20">
        <f>COUNTIFS(GameStats!I:I,A56,GameStats!B:B,"&gt;="&amp;$Q$1)</f>
        <v>1</v>
      </c>
      <c r="H56" s="33">
        <f>SUMIFS(GameStats!F:F,GameStats!C:C,A56,GameStats!B:B,"&gt;="&amp;$Q$1)</f>
        <v>339</v>
      </c>
      <c r="I56" s="33">
        <f>SUMIFS(GameStats!G:G,GameStats!C:C,A56,GameStats!B:B,"&gt;="&amp;$Q$1)</f>
        <v>623</v>
      </c>
      <c r="J56" s="33">
        <f t="shared" si="2"/>
        <v>67.8</v>
      </c>
      <c r="K56" s="33">
        <f t="shared" si="3"/>
        <v>124.6</v>
      </c>
      <c r="L56" s="32">
        <f t="shared" si="4"/>
        <v>0.2</v>
      </c>
      <c r="M56" s="29">
        <f>('Elo model'!$E$14*PlayerStats!D249) + ('Elo model'!$F$14*(1/PlayerStats!E249)) + ('Elo model'!$G$14*(PlayerStats!F249/1.75)) + ('Elo model'!$H$14*(PlayerStats!L249/4))</f>
        <v>8.5642857142857146E-2</v>
      </c>
      <c r="N56" s="21">
        <f>_xlfn.MINIFS(GameStats!B:B,GameStats!C:C,A56)</f>
        <v>45499</v>
      </c>
      <c r="O56" s="21">
        <f>_xlfn.MAXIFS(GameStats!B:B,GameStats!C:C,A56)</f>
        <v>45562</v>
      </c>
      <c r="P56" t="b">
        <f t="shared" si="5"/>
        <v>1</v>
      </c>
      <c r="Q56"/>
    </row>
    <row r="57" spans="1:17" ht="14.4" x14ac:dyDescent="0.3">
      <c r="A57" s="20" t="str">
        <f>'All Players'!A82</f>
        <v>Universe</v>
      </c>
      <c r="B57" s="20">
        <f>COUNTIFS(GameStats!C:C,A57,GameStats!D:D,"1",GameStats!B:B,"&gt;="&amp;$Q$1)</f>
        <v>0</v>
      </c>
      <c r="C57" s="20">
        <f>COUNTIFS(GameStats!C:C,A57,GameStats!B:B,"&gt;="&amp;$Q$1)</f>
        <v>4</v>
      </c>
      <c r="D57" s="22">
        <f t="shared" si="0"/>
        <v>0</v>
      </c>
      <c r="E57" s="31">
        <f>SUMIFS(GameStats!D:D,GameStats!C:C,A57,GameStats!B:B,"&gt;="&amp;$Q$1)/C57</f>
        <v>10.5</v>
      </c>
      <c r="F57" s="32">
        <f t="shared" si="1"/>
        <v>0.65656565656565657</v>
      </c>
      <c r="G57" s="20">
        <f>COUNTIFS(GameStats!I:I,A57,GameStats!B:B,"&gt;="&amp;$Q$1)</f>
        <v>2</v>
      </c>
      <c r="H57" s="33">
        <f>SUMIFS(GameStats!F:F,GameStats!C:C,A57,GameStats!B:B,"&gt;="&amp;$Q$1)</f>
        <v>1430</v>
      </c>
      <c r="I57" s="33">
        <f>SUMIFS(GameStats!G:G,GameStats!C:C,A57,GameStats!B:B,"&gt;="&amp;$Q$1)</f>
        <v>2178</v>
      </c>
      <c r="J57" s="33">
        <f t="shared" si="2"/>
        <v>357.5</v>
      </c>
      <c r="K57" s="33">
        <f t="shared" si="3"/>
        <v>544.5</v>
      </c>
      <c r="L57" s="32">
        <f t="shared" si="4"/>
        <v>0.5</v>
      </c>
      <c r="M57" s="29">
        <f>('Elo model'!$E$14*PlayerStats!D82) + ('Elo model'!$F$14*(1/PlayerStats!E82)) + ('Elo model'!$G$14*(PlayerStats!F82/1.75)) + ('Elo model'!$H$14*(PlayerStats!L82/4))</f>
        <v>6.4631407095742124E-2</v>
      </c>
      <c r="N57" s="21">
        <f>_xlfn.MINIFS(GameStats!B:B,GameStats!C:C,A57)</f>
        <v>45016</v>
      </c>
      <c r="O57" s="21">
        <f>_xlfn.MAXIFS(GameStats!B:B,GameStats!C:C,A57)</f>
        <v>45541</v>
      </c>
      <c r="P57" t="b">
        <f t="shared" si="5"/>
        <v>1</v>
      </c>
      <c r="Q57"/>
    </row>
    <row r="58" spans="1:17" ht="14.4" x14ac:dyDescent="0.3">
      <c r="A58" s="20" t="str">
        <f>'All Players'!A76</f>
        <v>Waffle</v>
      </c>
      <c r="B58" s="20">
        <f>COUNTIFS(GameStats!C:C,A58,GameStats!D:D,"1",GameStats!B:B,"&gt;="&amp;$Q$1)</f>
        <v>0</v>
      </c>
      <c r="C58" s="20">
        <f>COUNTIFS(GameStats!C:C,A58,GameStats!B:B,"&gt;="&amp;$Q$1)</f>
        <v>4</v>
      </c>
      <c r="D58" s="22">
        <f t="shared" si="0"/>
        <v>0</v>
      </c>
      <c r="E58" s="31">
        <f>SUMIFS(GameStats!D:D,GameStats!C:C,A58,GameStats!B:B,"&gt;="&amp;$Q$1)/C58</f>
        <v>10.5</v>
      </c>
      <c r="F58" s="32">
        <f t="shared" si="1"/>
        <v>0.73958790004384045</v>
      </c>
      <c r="G58" s="20">
        <f>COUNTIFS(GameStats!I:I,A58,GameStats!B:B,"&gt;="&amp;$Q$1)</f>
        <v>2</v>
      </c>
      <c r="H58" s="33">
        <f>SUMIFS(GameStats!F:F,GameStats!C:C,A58,GameStats!B:B,"&gt;="&amp;$Q$1)</f>
        <v>3374</v>
      </c>
      <c r="I58" s="33">
        <f>SUMIFS(GameStats!G:G,GameStats!C:C,A58,GameStats!B:B,"&gt;="&amp;$Q$1)</f>
        <v>4562</v>
      </c>
      <c r="J58" s="33">
        <f t="shared" si="2"/>
        <v>843.5</v>
      </c>
      <c r="K58" s="33">
        <f t="shared" si="3"/>
        <v>1140.5</v>
      </c>
      <c r="L58" s="32">
        <f t="shared" si="4"/>
        <v>0.5</v>
      </c>
      <c r="M58" s="29">
        <f>('Elo model'!$E$14*PlayerStats!D76) + ('Elo model'!$F$14*(1/PlayerStats!E76)) + ('Elo model'!$G$14*(PlayerStats!F76/1.75)) + ('Elo model'!$H$14*(PlayerStats!L76/4))</f>
        <v>0.14070118035327872</v>
      </c>
      <c r="N58" s="21">
        <f>_xlfn.MINIFS(GameStats!B:B,GameStats!C:C,A58)</f>
        <v>45016</v>
      </c>
      <c r="O58" s="21">
        <f>_xlfn.MAXIFS(GameStats!B:B,GameStats!C:C,A58)</f>
        <v>45492</v>
      </c>
      <c r="P58" t="b">
        <f t="shared" si="5"/>
        <v>1</v>
      </c>
    </row>
    <row r="59" spans="1:17" ht="14.4" x14ac:dyDescent="0.3">
      <c r="A59" s="20" t="str">
        <f>'All Players'!A79</f>
        <v>Mokkalokka</v>
      </c>
      <c r="B59" s="20">
        <f>COUNTIFS(GameStats!C:C,A59,GameStats!D:D,"1",GameStats!B:B,"&gt;="&amp;$Q$1)</f>
        <v>1</v>
      </c>
      <c r="C59" s="20">
        <f>COUNTIFS(GameStats!C:C,A59,GameStats!B:B,"&gt;="&amp;$Q$1)</f>
        <v>4</v>
      </c>
      <c r="D59" s="22">
        <f t="shared" si="0"/>
        <v>0.25</v>
      </c>
      <c r="E59" s="31">
        <f>SUMIFS(GameStats!D:D,GameStats!C:C,A59,GameStats!B:B,"&gt;="&amp;$Q$1)/C59</f>
        <v>11.25</v>
      </c>
      <c r="F59" s="32">
        <f t="shared" si="1"/>
        <v>1.1696754323619996</v>
      </c>
      <c r="G59" s="20">
        <f>COUNTIFS(GameStats!I:I,A59,GameStats!B:B,"&gt;="&amp;$Q$1)</f>
        <v>5</v>
      </c>
      <c r="H59" s="33">
        <f>SUMIFS(GameStats!F:F,GameStats!C:C,A59,GameStats!B:B,"&gt;="&amp;$Q$1)</f>
        <v>24686</v>
      </c>
      <c r="I59" s="33">
        <f>SUMIFS(GameStats!G:G,GameStats!C:C,A59,GameStats!B:B,"&gt;="&amp;$Q$1)</f>
        <v>21105</v>
      </c>
      <c r="J59" s="33">
        <f t="shared" si="2"/>
        <v>6171.5</v>
      </c>
      <c r="K59" s="33">
        <f t="shared" si="3"/>
        <v>5276.25</v>
      </c>
      <c r="L59" s="32">
        <f t="shared" si="4"/>
        <v>1.25</v>
      </c>
      <c r="M59" s="29">
        <f>('Elo model'!$E$14*PlayerStats!D79) + ('Elo model'!$F$14*(1/PlayerStats!E79)) + ('Elo model'!$G$14*(PlayerStats!F79/1.75)) + ('Elo model'!$H$14*(PlayerStats!L79/4))</f>
        <v>9.2805829228243014E-2</v>
      </c>
      <c r="N59" s="21">
        <f>_xlfn.MINIFS(GameStats!B:B,GameStats!C:C,A59)</f>
        <v>45016</v>
      </c>
      <c r="O59" s="21">
        <f>_xlfn.MAXIFS(GameStats!B:B,GameStats!C:C,A59)</f>
        <v>45527</v>
      </c>
      <c r="P59" t="b">
        <f t="shared" si="5"/>
        <v>1</v>
      </c>
    </row>
    <row r="60" spans="1:17" ht="14.4" x14ac:dyDescent="0.3">
      <c r="A60" s="20" t="str">
        <f>'All Players'!A130</f>
        <v>toothbrusher</v>
      </c>
      <c r="B60" s="20">
        <f>COUNTIFS(GameStats!C:C,A60,GameStats!D:D,"1",GameStats!B:B,"&gt;="&amp;$Q$1)</f>
        <v>0</v>
      </c>
      <c r="C60" s="20">
        <f>COUNTIFS(GameStats!C:C,A60,GameStats!B:B,"&gt;="&amp;$Q$1)</f>
        <v>4</v>
      </c>
      <c r="D60" s="22">
        <f t="shared" si="0"/>
        <v>0</v>
      </c>
      <c r="E60" s="31">
        <f>SUMIFS(GameStats!D:D,GameStats!C:C,A60,GameStats!B:B,"&gt;="&amp;$Q$1)/C60</f>
        <v>11.5</v>
      </c>
      <c r="F60" s="32">
        <f t="shared" si="1"/>
        <v>0.86210087922258216</v>
      </c>
      <c r="G60" s="20">
        <f>COUNTIFS(GameStats!I:I,A60,GameStats!B:B,"&gt;="&amp;$Q$1)</f>
        <v>2</v>
      </c>
      <c r="H60" s="33">
        <f>SUMIFS(GameStats!F:F,GameStats!C:C,A60,GameStats!B:B,"&gt;="&amp;$Q$1)</f>
        <v>1863</v>
      </c>
      <c r="I60" s="33">
        <f>SUMIFS(GameStats!G:G,GameStats!C:C,A60,GameStats!B:B,"&gt;="&amp;$Q$1)</f>
        <v>2161</v>
      </c>
      <c r="J60" s="33">
        <f t="shared" si="2"/>
        <v>465.75</v>
      </c>
      <c r="K60" s="33">
        <f t="shared" si="3"/>
        <v>540.25</v>
      </c>
      <c r="L60" s="32">
        <f t="shared" si="4"/>
        <v>0.5</v>
      </c>
      <c r="M60" s="29">
        <f>('Elo model'!$E$14*PlayerStats!D130) + ('Elo model'!$F$14*(1/PlayerStats!E130)) + ('Elo model'!$G$14*(PlayerStats!F130/1.75)) + ('Elo model'!$H$14*(PlayerStats!L130/4))</f>
        <v>0.1577476038338658</v>
      </c>
      <c r="N60" s="21">
        <f>_xlfn.MINIFS(GameStats!B:B,GameStats!C:C,A60)</f>
        <v>45366</v>
      </c>
      <c r="O60" s="21">
        <f>_xlfn.MAXIFS(GameStats!B:B,GameStats!C:C,A60)</f>
        <v>45492</v>
      </c>
      <c r="P60" t="b">
        <f t="shared" si="5"/>
        <v>1</v>
      </c>
      <c r="Q60"/>
    </row>
    <row r="61" spans="1:17" ht="14.4" x14ac:dyDescent="0.3">
      <c r="A61" s="20" t="str">
        <f>'All Players'!A32</f>
        <v>EagLeCrackV</v>
      </c>
      <c r="B61" s="20">
        <f>COUNTIFS(GameStats!C:C,A61,GameStats!D:D,"1",GameStats!B:B,"&gt;="&amp;$Q$1)</f>
        <v>0</v>
      </c>
      <c r="C61" s="20">
        <f>COUNTIFS(GameStats!C:C,A61,GameStats!B:B,"&gt;="&amp;$Q$1)</f>
        <v>4</v>
      </c>
      <c r="D61" s="22">
        <f t="shared" si="0"/>
        <v>0</v>
      </c>
      <c r="E61" s="31">
        <f>SUMIFS(GameStats!D:D,GameStats!C:C,A61,GameStats!B:B,"&gt;="&amp;$Q$1)/C61</f>
        <v>11.75</v>
      </c>
      <c r="F61" s="32">
        <f t="shared" si="1"/>
        <v>1.0476856835306783</v>
      </c>
      <c r="G61" s="20">
        <f>COUNTIFS(GameStats!I:I,A61,GameStats!B:B,"&gt;="&amp;$Q$1)</f>
        <v>4</v>
      </c>
      <c r="H61" s="33">
        <f>SUMIFS(GameStats!F:F,GameStats!C:C,A61,GameStats!B:B,"&gt;="&amp;$Q$1)</f>
        <v>19466</v>
      </c>
      <c r="I61" s="33">
        <f>SUMIFS(GameStats!G:G,GameStats!C:C,A61,GameStats!B:B,"&gt;="&amp;$Q$1)</f>
        <v>18580</v>
      </c>
      <c r="J61" s="33">
        <f t="shared" si="2"/>
        <v>4866.5</v>
      </c>
      <c r="K61" s="33">
        <f t="shared" si="3"/>
        <v>4645</v>
      </c>
      <c r="L61" s="32">
        <f t="shared" si="4"/>
        <v>1</v>
      </c>
      <c r="M61" s="29">
        <f>('Elo model'!$E$14*PlayerStats!D32) + ('Elo model'!$F$14*(1/PlayerStats!E32)) + ('Elo model'!$G$14*(PlayerStats!F32/1.75)) + ('Elo model'!$H$14*(PlayerStats!L32/4))</f>
        <v>0.10177208646033251</v>
      </c>
      <c r="N61" s="21">
        <f>_xlfn.MINIFS(GameStats!B:B,GameStats!C:C,A61)</f>
        <v>44974</v>
      </c>
      <c r="O61" s="21">
        <f>_xlfn.MAXIFS(GameStats!B:B,GameStats!C:C,A61)</f>
        <v>45408</v>
      </c>
      <c r="P61" t="b">
        <f t="shared" si="5"/>
        <v>1</v>
      </c>
    </row>
    <row r="62" spans="1:17" ht="14.4" x14ac:dyDescent="0.3">
      <c r="A62" s="20" t="str">
        <f>'All Players'!A52</f>
        <v>LeviAckerman</v>
      </c>
      <c r="B62" s="20">
        <f>COUNTIFS(GameStats!C:C,A62,GameStats!D:D,"1",GameStats!B:B,"&gt;="&amp;$Q$1)</f>
        <v>0</v>
      </c>
      <c r="C62" s="20">
        <f>COUNTIFS(GameStats!C:C,A62,GameStats!B:B,"&gt;="&amp;$Q$1)</f>
        <v>4</v>
      </c>
      <c r="D62" s="22">
        <f t="shared" si="0"/>
        <v>0</v>
      </c>
      <c r="E62" s="31">
        <f>SUMIFS(GameStats!D:D,GameStats!C:C,A62,GameStats!B:B,"&gt;="&amp;$Q$1)/C62</f>
        <v>11.75</v>
      </c>
      <c r="F62" s="32">
        <f t="shared" si="1"/>
        <v>0.8075907590759076</v>
      </c>
      <c r="G62" s="20">
        <f>COUNTIFS(GameStats!I:I,A62,GameStats!B:B,"&gt;="&amp;$Q$1)</f>
        <v>4</v>
      </c>
      <c r="H62" s="33">
        <f>SUMIFS(GameStats!F:F,GameStats!C:C,A62,GameStats!B:B,"&gt;="&amp;$Q$1)</f>
        <v>2447</v>
      </c>
      <c r="I62" s="33">
        <f>SUMIFS(GameStats!G:G,GameStats!C:C,A62,GameStats!B:B,"&gt;="&amp;$Q$1)</f>
        <v>3030</v>
      </c>
      <c r="J62" s="33">
        <f t="shared" si="2"/>
        <v>611.75</v>
      </c>
      <c r="K62" s="33">
        <f t="shared" si="3"/>
        <v>757.5</v>
      </c>
      <c r="L62" s="32">
        <f t="shared" si="4"/>
        <v>1</v>
      </c>
      <c r="M62" s="29">
        <f>('Elo model'!$E$14*PlayerStats!D52) + ('Elo model'!$F$14*(1/PlayerStats!E52)) + ('Elo model'!$G$14*PlayerStats!F52) + ('Elo model'!$H$14*(PlayerStats!L52/4))</f>
        <v>0.16657202562443307</v>
      </c>
      <c r="N62" s="21">
        <f>_xlfn.MINIFS(GameStats!B:B,GameStats!C:C,A62)</f>
        <v>44995</v>
      </c>
      <c r="O62" s="21">
        <f>_xlfn.MAXIFS(GameStats!B:B,GameStats!C:C,A62)</f>
        <v>45380</v>
      </c>
      <c r="P62" t="b">
        <f t="shared" si="5"/>
        <v>1</v>
      </c>
    </row>
    <row r="63" spans="1:17" ht="14.4" x14ac:dyDescent="0.3">
      <c r="A63" s="20" t="str">
        <f>'All Players'!A17</f>
        <v>Todesfub</v>
      </c>
      <c r="B63" s="20">
        <f>COUNTIFS(GameStats!C:C,A63,GameStats!D:D,"1",GameStats!B:B,"&gt;="&amp;$Q$1)</f>
        <v>0</v>
      </c>
      <c r="C63" s="20">
        <f>COUNTIFS(GameStats!C:C,A63,GameStats!B:B,"&gt;="&amp;$Q$1)</f>
        <v>4</v>
      </c>
      <c r="D63" s="22">
        <f t="shared" si="0"/>
        <v>0</v>
      </c>
      <c r="E63" s="31">
        <f>SUMIFS(GameStats!D:D,GameStats!C:C,A63,GameStats!B:B,"&gt;="&amp;$Q$1)/C63</f>
        <v>12</v>
      </c>
      <c r="F63" s="32">
        <f t="shared" si="1"/>
        <v>1.111807077983088</v>
      </c>
      <c r="G63" s="20">
        <f>COUNTIFS(GameStats!I:I,A63,GameStats!B:B,"&gt;="&amp;$Q$1)</f>
        <v>0</v>
      </c>
      <c r="H63" s="33">
        <f>SUMIFS(GameStats!F:F,GameStats!C:C,A63,GameStats!B:B,"&gt;="&amp;$Q$1)</f>
        <v>3550</v>
      </c>
      <c r="I63" s="33">
        <f>SUMIFS(GameStats!G:G,GameStats!C:C,A63,GameStats!B:B,"&gt;="&amp;$Q$1)</f>
        <v>3193</v>
      </c>
      <c r="J63" s="33">
        <f t="shared" si="2"/>
        <v>887.5</v>
      </c>
      <c r="K63" s="33">
        <f t="shared" si="3"/>
        <v>798.25</v>
      </c>
      <c r="L63" s="32">
        <f t="shared" si="4"/>
        <v>0</v>
      </c>
      <c r="M63" s="29">
        <f>('Elo model'!$E$14*PlayerStats!D17) + ('Elo model'!$F$14*(1/PlayerStats!E17)) + ('Elo model'!$G$14*PlayerStats!F17) + ('Elo model'!$H$14*(PlayerStats!L17/4))</f>
        <v>0.18527722618074213</v>
      </c>
      <c r="N63" s="21">
        <f>_xlfn.MINIFS(GameStats!B:B,GameStats!C:C,A63)</f>
        <v>44967</v>
      </c>
      <c r="O63" s="21">
        <f>_xlfn.MAXIFS(GameStats!B:B,GameStats!C:C,A63)</f>
        <v>45044</v>
      </c>
      <c r="P63" t="b">
        <f t="shared" si="5"/>
        <v>1</v>
      </c>
      <c r="Q63"/>
    </row>
    <row r="64" spans="1:17" ht="14.4" x14ac:dyDescent="0.3">
      <c r="A64" s="20" t="str">
        <f>'All Players'!A42</f>
        <v>Cranky</v>
      </c>
      <c r="B64" s="20">
        <f>COUNTIFS(GameStats!C:C,A64,GameStats!D:D,"1",GameStats!B:B,"&gt;="&amp;$Q$1)</f>
        <v>0</v>
      </c>
      <c r="C64" s="20">
        <f>COUNTIFS(GameStats!C:C,A64,GameStats!B:B,"&gt;="&amp;$Q$1)</f>
        <v>4</v>
      </c>
      <c r="D64" s="22">
        <f t="shared" si="0"/>
        <v>0</v>
      </c>
      <c r="E64" s="31">
        <f>SUMIFS(GameStats!D:D,GameStats!C:C,A64,GameStats!B:B,"&gt;="&amp;$Q$1)/C64</f>
        <v>15.75</v>
      </c>
      <c r="F64" s="32">
        <f t="shared" si="1"/>
        <v>0.76309226932668328</v>
      </c>
      <c r="G64" s="20">
        <f>COUNTIFS(GameStats!I:I,A64,GameStats!B:B,"&gt;="&amp;$Q$1)</f>
        <v>0</v>
      </c>
      <c r="H64" s="33">
        <f>SUMIFS(GameStats!F:F,GameStats!C:C,A64,GameStats!B:B,"&gt;="&amp;$Q$1)</f>
        <v>1224</v>
      </c>
      <c r="I64" s="33">
        <f>SUMIFS(GameStats!G:G,GameStats!C:C,A64,GameStats!B:B,"&gt;="&amp;$Q$1)</f>
        <v>1604</v>
      </c>
      <c r="J64" s="33">
        <f t="shared" si="2"/>
        <v>306</v>
      </c>
      <c r="K64" s="33">
        <f t="shared" si="3"/>
        <v>401</v>
      </c>
      <c r="L64" s="32">
        <f t="shared" si="4"/>
        <v>0</v>
      </c>
      <c r="M64" s="29">
        <f>('Elo model'!$E$14*PlayerStats!D42) + ('Elo model'!$F$14*(1/PlayerStats!E42)) + ('Elo model'!$G$14*PlayerStats!F42) + ('Elo model'!$H$14*(PlayerStats!L42/4))</f>
        <v>0.10878168888193691</v>
      </c>
      <c r="N64" s="21">
        <f>_xlfn.MINIFS(GameStats!B:B,GameStats!C:C,A64)</f>
        <v>44988</v>
      </c>
      <c r="O64" s="21">
        <f>_xlfn.MAXIFS(GameStats!B:B,GameStats!C:C,A64)</f>
        <v>45513</v>
      </c>
      <c r="P64" t="b">
        <f t="shared" si="5"/>
        <v>1</v>
      </c>
    </row>
    <row r="65" spans="1:17" ht="14.4" x14ac:dyDescent="0.3">
      <c r="A65" s="20" t="str">
        <f>'All Players'!A109</f>
        <v>Freshcurls</v>
      </c>
      <c r="B65" s="20">
        <f>COUNTIFS(GameStats!C:C,A65,GameStats!D:D,"1",GameStats!B:B,"&gt;="&amp;$Q$1)</f>
        <v>0</v>
      </c>
      <c r="C65" s="20">
        <f>COUNTIFS(GameStats!C:C,A65,GameStats!B:B,"&gt;="&amp;$Q$1)</f>
        <v>4</v>
      </c>
      <c r="D65" s="22">
        <f t="shared" si="0"/>
        <v>0</v>
      </c>
      <c r="E65" s="31">
        <f>SUMIFS(GameStats!D:D,GameStats!C:C,A65,GameStats!B:B,"&gt;="&amp;$Q$1)/C65</f>
        <v>16</v>
      </c>
      <c r="F65" s="32">
        <f t="shared" si="1"/>
        <v>0.68052668052668053</v>
      </c>
      <c r="G65" s="20">
        <f>COUNTIFS(GameStats!I:I,A65,GameStats!B:B,"&gt;="&amp;$Q$1)</f>
        <v>1</v>
      </c>
      <c r="H65" s="33">
        <f>SUMIFS(GameStats!F:F,GameStats!C:C,A65,GameStats!B:B,"&gt;="&amp;$Q$1)</f>
        <v>982</v>
      </c>
      <c r="I65" s="33">
        <f>SUMIFS(GameStats!G:G,GameStats!C:C,A65,GameStats!B:B,"&gt;="&amp;$Q$1)</f>
        <v>1443</v>
      </c>
      <c r="J65" s="33">
        <f t="shared" si="2"/>
        <v>245.5</v>
      </c>
      <c r="K65" s="33">
        <f t="shared" si="3"/>
        <v>360.75</v>
      </c>
      <c r="L65" s="32">
        <f t="shared" si="4"/>
        <v>0.25</v>
      </c>
      <c r="M65" s="29">
        <f>('Elo model'!$E$14*PlayerStats!D109) + ('Elo model'!$F$14*(1/PlayerStats!E109)) + ('Elo model'!$G$14*(PlayerStats!F109/1.75)) + ('Elo model'!$H$14*(PlayerStats!L109/4))</f>
        <v>7.6046390778533632E-2</v>
      </c>
      <c r="N65" s="21">
        <f>_xlfn.MINIFS(GameStats!B:B,GameStats!C:C,A65)</f>
        <v>45037</v>
      </c>
      <c r="O65" s="21">
        <f>_xlfn.MAXIFS(GameStats!B:B,GameStats!C:C,A65)</f>
        <v>45429</v>
      </c>
      <c r="P65" t="b">
        <f t="shared" si="5"/>
        <v>1</v>
      </c>
    </row>
    <row r="66" spans="1:17" ht="14.4" x14ac:dyDescent="0.3">
      <c r="A66" s="20" t="str">
        <f>'All Players'!A131</f>
        <v>monsalo</v>
      </c>
      <c r="B66" s="20">
        <f>COUNTIFS(GameStats!C:C,A66,GameStats!D:D,"1",GameStats!B:B,"&gt;="&amp;$Q$1)</f>
        <v>0</v>
      </c>
      <c r="C66" s="20">
        <f>COUNTIFS(GameStats!C:C,A66,GameStats!B:B,"&gt;="&amp;$Q$1)</f>
        <v>4</v>
      </c>
      <c r="D66" s="22">
        <f t="shared" ref="D66:D129" si="6">B66/C66</f>
        <v>0</v>
      </c>
      <c r="E66" s="31">
        <f>SUMIFS(GameStats!D:D,GameStats!C:C,A66,GameStats!B:B,"&gt;="&amp;$Q$1)/C66</f>
        <v>16.5</v>
      </c>
      <c r="F66" s="32">
        <f t="shared" ref="F66:F129" si="7">H66/I66</f>
        <v>0.7767540751240255</v>
      </c>
      <c r="G66" s="20">
        <f>COUNTIFS(GameStats!I:I,A66,GameStats!B:B,"&gt;="&amp;$Q$1)</f>
        <v>2</v>
      </c>
      <c r="H66" s="33">
        <f>SUMIFS(GameStats!F:F,GameStats!C:C,A66,GameStats!B:B,"&gt;="&amp;$Q$1)</f>
        <v>3288</v>
      </c>
      <c r="I66" s="33">
        <f>SUMIFS(GameStats!G:G,GameStats!C:C,A66,GameStats!B:B,"&gt;="&amp;$Q$1)</f>
        <v>4233</v>
      </c>
      <c r="J66" s="33">
        <f t="shared" ref="J66:J129" si="8">H66/C66</f>
        <v>822</v>
      </c>
      <c r="K66" s="33">
        <f t="shared" ref="K66:K129" si="9">I66/C66</f>
        <v>1058.25</v>
      </c>
      <c r="L66" s="32">
        <f t="shared" ref="L66:L129" si="10">G66/C66</f>
        <v>0.5</v>
      </c>
      <c r="M66" s="29">
        <f>('Elo model'!$E$14*PlayerStats!D131) + ('Elo model'!$F$14*(1/PlayerStats!E131)) + ('Elo model'!$G$14*(PlayerStats!F131/1.75)) + ('Elo model'!$H$14*(PlayerStats!L131/4))</f>
        <v>0.10524577247105885</v>
      </c>
      <c r="N66" s="21">
        <f>_xlfn.MINIFS(GameStats!B:B,GameStats!C:C,A66)</f>
        <v>45366</v>
      </c>
      <c r="O66" s="21">
        <f>_xlfn.MAXIFS(GameStats!B:B,GameStats!C:C,A66)</f>
        <v>45443</v>
      </c>
      <c r="P66" t="b">
        <f t="shared" ref="P66:P129" si="11">IF(O66&gt;$Q$1,TRUE)</f>
        <v>1</v>
      </c>
    </row>
    <row r="67" spans="1:17" ht="14.4" x14ac:dyDescent="0.3">
      <c r="A67" s="20" t="str">
        <f>'All Players'!A172</f>
        <v>notes</v>
      </c>
      <c r="B67" s="20">
        <f>COUNTIFS(GameStats!C:C,A67,GameStats!D:D,"1",GameStats!B:B,"&gt;="&amp;$Q$1)</f>
        <v>0</v>
      </c>
      <c r="C67" s="20">
        <f>COUNTIFS(GameStats!C:C,A67,GameStats!B:B,"&gt;="&amp;$Q$1)</f>
        <v>4</v>
      </c>
      <c r="D67" s="22">
        <f t="shared" si="6"/>
        <v>0</v>
      </c>
      <c r="E67" s="31">
        <f>SUMIFS(GameStats!D:D,GameStats!C:C,A67,GameStats!B:B,"&gt;="&amp;$Q$1)/C67</f>
        <v>17.75</v>
      </c>
      <c r="F67" s="32">
        <f t="shared" si="7"/>
        <v>0.69105691056910568</v>
      </c>
      <c r="G67" s="20">
        <f>COUNTIFS(GameStats!I:I,A67,GameStats!B:B,"&gt;="&amp;$Q$1)</f>
        <v>0</v>
      </c>
      <c r="H67" s="33">
        <f>SUMIFS(GameStats!F:F,GameStats!C:C,A67,GameStats!B:B,"&gt;="&amp;$Q$1)</f>
        <v>255</v>
      </c>
      <c r="I67" s="33">
        <f>SUMIFS(GameStats!G:G,GameStats!C:C,A67,GameStats!B:B,"&gt;="&amp;$Q$1)</f>
        <v>369</v>
      </c>
      <c r="J67" s="33">
        <f t="shared" si="8"/>
        <v>63.75</v>
      </c>
      <c r="K67" s="33">
        <f t="shared" si="9"/>
        <v>92.25</v>
      </c>
      <c r="L67" s="32">
        <f t="shared" si="10"/>
        <v>0</v>
      </c>
      <c r="M67" s="29">
        <f>('Elo model'!$E$14*PlayerStats!D172) + ('Elo model'!$F$14*(1/PlayerStats!E172)) + ('Elo model'!$G$14*(PlayerStats!F172/1.75)) + ('Elo model'!$H$14*(PlayerStats!L172/4))</f>
        <v>9.1822429906542047E-2</v>
      </c>
      <c r="N67" s="21">
        <f>_xlfn.MINIFS(GameStats!B:B,GameStats!C:C,A67)</f>
        <v>45408</v>
      </c>
      <c r="O67" s="21">
        <f>_xlfn.MAXIFS(GameStats!B:B,GameStats!C:C,A67)</f>
        <v>45541</v>
      </c>
      <c r="P67" t="b">
        <f t="shared" si="11"/>
        <v>1</v>
      </c>
    </row>
    <row r="68" spans="1:17" ht="14.4" x14ac:dyDescent="0.3">
      <c r="A68" s="20" t="str">
        <f>'All Players'!A198</f>
        <v>lukascz</v>
      </c>
      <c r="B68" s="20">
        <f>COUNTIFS(GameStats!C:C,A68,GameStats!D:D,"1",GameStats!B:B,"&gt;="&amp;$Q$1)</f>
        <v>0</v>
      </c>
      <c r="C68" s="20">
        <f>COUNTIFS(GameStats!C:C,A68,GameStats!B:B,"&gt;="&amp;$Q$1)</f>
        <v>4</v>
      </c>
      <c r="D68" s="22">
        <f t="shared" si="6"/>
        <v>0</v>
      </c>
      <c r="E68" s="31">
        <f>SUMIFS(GameStats!D:D,GameStats!C:C,A68,GameStats!B:B,"&gt;="&amp;$Q$1)/C68</f>
        <v>20.25</v>
      </c>
      <c r="F68" s="32">
        <f t="shared" si="7"/>
        <v>0.44489795918367347</v>
      </c>
      <c r="G68" s="20">
        <f>COUNTIFS(GameStats!I:I,A68,GameStats!B:B,"&gt;="&amp;$Q$1)</f>
        <v>0</v>
      </c>
      <c r="H68" s="33">
        <f>SUMIFS(GameStats!F:F,GameStats!C:C,A68,GameStats!B:B,"&gt;="&amp;$Q$1)</f>
        <v>109</v>
      </c>
      <c r="I68" s="33">
        <f>SUMIFS(GameStats!G:G,GameStats!C:C,A68,GameStats!B:B,"&gt;="&amp;$Q$1)</f>
        <v>245</v>
      </c>
      <c r="J68" s="33">
        <f t="shared" si="8"/>
        <v>27.25</v>
      </c>
      <c r="K68" s="33">
        <f t="shared" si="9"/>
        <v>61.25</v>
      </c>
      <c r="L68" s="32">
        <f t="shared" si="10"/>
        <v>0</v>
      </c>
      <c r="M68" s="29">
        <f>('Elo model'!$E$14*PlayerStats!D198) + ('Elo model'!$F$14*(1/PlayerStats!E198)) + ('Elo model'!$G$14*(PlayerStats!F198/1.75)) + ('Elo model'!$H$14*(PlayerStats!L198/4))</f>
        <v>7.1588999236058062E-2</v>
      </c>
      <c r="N68" s="21">
        <f>_xlfn.MINIFS(GameStats!B:B,GameStats!C:C,A68)</f>
        <v>45429</v>
      </c>
      <c r="O68" s="21">
        <f>_xlfn.MAXIFS(GameStats!B:B,GameStats!C:C,A68)</f>
        <v>45569</v>
      </c>
      <c r="P68" t="b">
        <f t="shared" si="11"/>
        <v>1</v>
      </c>
      <c r="Q68"/>
    </row>
    <row r="69" spans="1:17" ht="14.4" x14ac:dyDescent="0.3">
      <c r="A69" s="20" t="str">
        <f>'All Players'!A72</f>
        <v>mortlock</v>
      </c>
      <c r="B69" s="20">
        <f>COUNTIFS(GameStats!C:C,A69,GameStats!D:D,"1",GameStats!B:B,"&gt;="&amp;$Q$1)</f>
        <v>0</v>
      </c>
      <c r="C69" s="20">
        <f>COUNTIFS(GameStats!C:C,A69,GameStats!B:B,"&gt;="&amp;$Q$1)</f>
        <v>3</v>
      </c>
      <c r="D69" s="22">
        <f t="shared" si="6"/>
        <v>0</v>
      </c>
      <c r="E69" s="31">
        <f>SUMIFS(GameStats!D:D,GameStats!C:C,A69,GameStats!B:B,"&gt;="&amp;$Q$1)/C69</f>
        <v>5</v>
      </c>
      <c r="F69" s="32">
        <f t="shared" si="7"/>
        <v>1.2831835686777919</v>
      </c>
      <c r="G69" s="20">
        <f>COUNTIFS(GameStats!I:I,A69,GameStats!B:B,"&gt;="&amp;$Q$1)</f>
        <v>0</v>
      </c>
      <c r="H69" s="33">
        <f>SUMIFS(GameStats!F:F,GameStats!C:C,A69,GameStats!B:B,"&gt;="&amp;$Q$1)</f>
        <v>4998</v>
      </c>
      <c r="I69" s="33">
        <f>SUMIFS(GameStats!G:G,GameStats!C:C,A69,GameStats!B:B,"&gt;="&amp;$Q$1)</f>
        <v>3895</v>
      </c>
      <c r="J69" s="33">
        <f t="shared" si="8"/>
        <v>1666</v>
      </c>
      <c r="K69" s="33">
        <f t="shared" si="9"/>
        <v>1298.3333333333333</v>
      </c>
      <c r="L69" s="32">
        <f t="shared" si="10"/>
        <v>0</v>
      </c>
      <c r="M69" s="29">
        <f>('Elo model'!$E$14*PlayerStats!D72) + ('Elo model'!$F$14*(1/PlayerStats!E72)) + ('Elo model'!$G$14*(PlayerStats!F72/1.75)) + ('Elo model'!$H$14*(PlayerStats!L72/4))</f>
        <v>0.16658876948354723</v>
      </c>
      <c r="N69" s="21">
        <f>_xlfn.MINIFS(GameStats!B:B,GameStats!C:C,A69)</f>
        <v>45016</v>
      </c>
      <c r="O69" s="21">
        <f>_xlfn.MAXIFS(GameStats!B:B,GameStats!C:C,A69)</f>
        <v>45037</v>
      </c>
      <c r="P69" t="b">
        <f t="shared" si="11"/>
        <v>1</v>
      </c>
      <c r="Q69"/>
    </row>
    <row r="70" spans="1:17" ht="14.4" x14ac:dyDescent="0.3">
      <c r="A70" s="20" t="str">
        <f>'All Players'!A192</f>
        <v>FremderWolf</v>
      </c>
      <c r="B70" s="20">
        <f>COUNTIFS(GameStats!C:C,A70,GameStats!D:D,"1",GameStats!B:B,"&gt;="&amp;$Q$1)</f>
        <v>1</v>
      </c>
      <c r="C70" s="20">
        <f>COUNTIFS(GameStats!C:C,A70,GameStats!B:B,"&gt;="&amp;$Q$1)</f>
        <v>3</v>
      </c>
      <c r="D70" s="22">
        <f t="shared" si="6"/>
        <v>0.33333333333333331</v>
      </c>
      <c r="E70" s="31">
        <f>SUMIFS(GameStats!D:D,GameStats!C:C,A70,GameStats!B:B,"&gt;="&amp;$Q$1)/C70</f>
        <v>6</v>
      </c>
      <c r="F70" s="32">
        <f t="shared" si="7"/>
        <v>1.0333961079723792</v>
      </c>
      <c r="G70" s="20">
        <f>COUNTIFS(GameStats!I:I,A70,GameStats!B:B,"&gt;="&amp;$Q$1)</f>
        <v>5</v>
      </c>
      <c r="H70" s="33">
        <f>SUMIFS(GameStats!F:F,GameStats!C:C,A70,GameStats!B:B,"&gt;="&amp;$Q$1)</f>
        <v>8231</v>
      </c>
      <c r="I70" s="33">
        <f>SUMIFS(GameStats!G:G,GameStats!C:C,A70,GameStats!B:B,"&gt;="&amp;$Q$1)</f>
        <v>7965</v>
      </c>
      <c r="J70" s="33">
        <f t="shared" si="8"/>
        <v>2743.6666666666665</v>
      </c>
      <c r="K70" s="33">
        <f t="shared" si="9"/>
        <v>2655</v>
      </c>
      <c r="L70" s="32">
        <f t="shared" si="10"/>
        <v>1.6666666666666667</v>
      </c>
      <c r="M70" s="29">
        <f>('Elo model'!$E$14*PlayerStats!D192) + ('Elo model'!$F$14*(1/PlayerStats!E192)) + ('Elo model'!$G$14*(PlayerStats!F192/1.75)) + ('Elo model'!$H$14*(PlayerStats!L192/4))</f>
        <v>8.7203947368421061E-2</v>
      </c>
      <c r="N70" s="21">
        <f>_xlfn.MINIFS(GameStats!B:B,GameStats!C:C,A70)</f>
        <v>45429</v>
      </c>
      <c r="O70" s="21">
        <f>_xlfn.MAXIFS(GameStats!B:B,GameStats!C:C,A70)</f>
        <v>45541</v>
      </c>
      <c r="P70" t="b">
        <f t="shared" si="11"/>
        <v>1</v>
      </c>
      <c r="Q70"/>
    </row>
    <row r="71" spans="1:17" ht="14.4" x14ac:dyDescent="0.3">
      <c r="A71" s="20" t="str">
        <f>'All Players'!A41</f>
        <v>Certitude</v>
      </c>
      <c r="B71" s="20">
        <f>COUNTIFS(GameStats!C:C,A71,GameStats!D:D,"1",GameStats!B:B,"&gt;="&amp;$Q$1)</f>
        <v>0</v>
      </c>
      <c r="C71" s="20">
        <f>COUNTIFS(GameStats!C:C,A71,GameStats!B:B,"&gt;="&amp;$Q$1)</f>
        <v>3</v>
      </c>
      <c r="D71" s="22">
        <f t="shared" si="6"/>
        <v>0</v>
      </c>
      <c r="E71" s="31">
        <f>SUMIFS(GameStats!D:D,GameStats!C:C,A71,GameStats!B:B,"&gt;="&amp;$Q$1)/C71</f>
        <v>6.666666666666667</v>
      </c>
      <c r="F71" s="32">
        <f t="shared" si="7"/>
        <v>1.1530460624071321</v>
      </c>
      <c r="G71" s="20">
        <f>COUNTIFS(GameStats!I:I,A71,GameStats!B:B,"&gt;="&amp;$Q$1)</f>
        <v>0</v>
      </c>
      <c r="H71" s="33">
        <f>SUMIFS(GameStats!F:F,GameStats!C:C,A71,GameStats!B:B,"&gt;="&amp;$Q$1)</f>
        <v>2328</v>
      </c>
      <c r="I71" s="33">
        <f>SUMIFS(GameStats!G:G,GameStats!C:C,A71,GameStats!B:B,"&gt;="&amp;$Q$1)</f>
        <v>2019</v>
      </c>
      <c r="J71" s="33">
        <f t="shared" si="8"/>
        <v>776</v>
      </c>
      <c r="K71" s="33">
        <f t="shared" si="9"/>
        <v>673</v>
      </c>
      <c r="L71" s="32">
        <f t="shared" si="10"/>
        <v>0</v>
      </c>
      <c r="M71" s="29">
        <f>('Elo model'!$E$14*PlayerStats!D41) + ('Elo model'!$F$14*(1/PlayerStats!E41)) + ('Elo model'!$G$14*(PlayerStats!F41/1.75)) + ('Elo model'!$H$14*(PlayerStats!L41/4))</f>
        <v>0.11208741635005987</v>
      </c>
      <c r="N71" s="21">
        <f>_xlfn.MINIFS(GameStats!B:B,GameStats!C:C,A71)</f>
        <v>44988</v>
      </c>
      <c r="O71" s="21">
        <f>_xlfn.MAXIFS(GameStats!B:B,GameStats!C:C,A71)</f>
        <v>45023</v>
      </c>
      <c r="P71" t="b">
        <f t="shared" si="11"/>
        <v>1</v>
      </c>
      <c r="Q71"/>
    </row>
    <row r="72" spans="1:17" ht="14.4" x14ac:dyDescent="0.3">
      <c r="A72" s="20" t="str">
        <f>'All Players'!A245</f>
        <v>Rammsteins</v>
      </c>
      <c r="B72" s="20">
        <f>COUNTIFS(GameStats!C:C,A72,GameStats!D:D,"1",GameStats!B:B,"&gt;="&amp;$Q$1)</f>
        <v>0</v>
      </c>
      <c r="C72" s="20">
        <f>COUNTIFS(GameStats!C:C,A72,GameStats!B:B,"&gt;="&amp;$Q$1)</f>
        <v>3</v>
      </c>
      <c r="D72" s="22">
        <f t="shared" si="6"/>
        <v>0</v>
      </c>
      <c r="E72" s="31">
        <f>SUMIFS(GameStats!D:D,GameStats!C:C,A72,GameStats!B:B,"&gt;="&amp;$Q$1)/C72</f>
        <v>6.666666666666667</v>
      </c>
      <c r="F72" s="32">
        <f t="shared" si="7"/>
        <v>0.9227023106413843</v>
      </c>
      <c r="G72" s="20">
        <f>COUNTIFS(GameStats!I:I,A72,GameStats!B:B,"&gt;="&amp;$Q$1)</f>
        <v>6</v>
      </c>
      <c r="H72" s="33">
        <f>SUMIFS(GameStats!F:F,GameStats!C:C,A72,GameStats!B:B,"&gt;="&amp;$Q$1)</f>
        <v>8905</v>
      </c>
      <c r="I72" s="33">
        <f>SUMIFS(GameStats!G:G,GameStats!C:C,A72,GameStats!B:B,"&gt;="&amp;$Q$1)</f>
        <v>9651</v>
      </c>
      <c r="J72" s="33">
        <f t="shared" si="8"/>
        <v>2968.3333333333335</v>
      </c>
      <c r="K72" s="33">
        <f t="shared" si="9"/>
        <v>3217</v>
      </c>
      <c r="L72" s="32">
        <f t="shared" si="10"/>
        <v>2</v>
      </c>
      <c r="M72" s="29">
        <f>('Elo model'!$E$14*PlayerStats!D245) + ('Elo model'!$F$14*(1/PlayerStats!E245)) + ('Elo model'!$G$14*(PlayerStats!F245/1.75)) + ('Elo model'!$H$14*(PlayerStats!L245/4))</f>
        <v>8.2629870129870137E-2</v>
      </c>
      <c r="N72" s="21">
        <f>_xlfn.MINIFS(GameStats!B:B,GameStats!C:C,A72)</f>
        <v>45499</v>
      </c>
      <c r="O72" s="21">
        <f>_xlfn.MAXIFS(GameStats!B:B,GameStats!C:C,A72)</f>
        <v>45513</v>
      </c>
      <c r="P72" t="b">
        <f t="shared" si="11"/>
        <v>1</v>
      </c>
      <c r="Q72"/>
    </row>
    <row r="73" spans="1:17" ht="14.4" x14ac:dyDescent="0.3">
      <c r="A73" s="20" t="str">
        <f>'All Players'!A139</f>
        <v>deprener</v>
      </c>
      <c r="B73" s="20">
        <f>COUNTIFS(GameStats!C:C,A73,GameStats!D:D,"1",GameStats!B:B,"&gt;="&amp;$Q$1)</f>
        <v>0</v>
      </c>
      <c r="C73" s="20">
        <f>COUNTIFS(GameStats!C:C,A73,GameStats!B:B,"&gt;="&amp;$Q$1)</f>
        <v>3</v>
      </c>
      <c r="D73" s="22">
        <f t="shared" si="6"/>
        <v>0</v>
      </c>
      <c r="E73" s="31">
        <f>SUMIFS(GameStats!D:D,GameStats!C:C,A73,GameStats!B:B,"&gt;="&amp;$Q$1)/C73</f>
        <v>7.333333333333333</v>
      </c>
      <c r="F73" s="32">
        <f t="shared" si="7"/>
        <v>0.82619076772376643</v>
      </c>
      <c r="G73" s="20">
        <f>COUNTIFS(GameStats!I:I,A73,GameStats!B:B,"&gt;="&amp;$Q$1)</f>
        <v>6</v>
      </c>
      <c r="H73" s="33">
        <f>SUMIFS(GameStats!F:F,GameStats!C:C,A73,GameStats!B:B,"&gt;="&amp;$Q$1)</f>
        <v>13495</v>
      </c>
      <c r="I73" s="33">
        <f>SUMIFS(GameStats!G:G,GameStats!C:C,A73,GameStats!B:B,"&gt;="&amp;$Q$1)</f>
        <v>16334</v>
      </c>
      <c r="J73" s="33">
        <f t="shared" si="8"/>
        <v>4498.333333333333</v>
      </c>
      <c r="K73" s="33">
        <f t="shared" si="9"/>
        <v>5444.666666666667</v>
      </c>
      <c r="L73" s="32">
        <f t="shared" si="10"/>
        <v>2</v>
      </c>
      <c r="M73" s="29">
        <f>('Elo model'!$E$14*PlayerStats!D139) + ('Elo model'!$F$14*(1/PlayerStats!E139)) + ('Elo model'!$G$14*(PlayerStats!F139/1.75)) + ('Elo model'!$H$14*(PlayerStats!L139/4))</f>
        <v>8.3548208220697293E-2</v>
      </c>
      <c r="N73" s="21">
        <f>_xlfn.MINIFS(GameStats!B:B,GameStats!C:C,A73)</f>
        <v>45380</v>
      </c>
      <c r="O73" s="21">
        <f>_xlfn.MAXIFS(GameStats!B:B,GameStats!C:C,A73)</f>
        <v>45464</v>
      </c>
      <c r="P73" t="b">
        <f t="shared" si="11"/>
        <v>1</v>
      </c>
      <c r="Q73"/>
    </row>
    <row r="74" spans="1:17" ht="14.4" x14ac:dyDescent="0.3">
      <c r="A74" s="20" t="str">
        <f>'All Players'!A230</f>
        <v>MallRats</v>
      </c>
      <c r="B74" s="20">
        <f>COUNTIFS(GameStats!C:C,A74,GameStats!D:D,"1",GameStats!B:B,"&gt;="&amp;$Q$1)</f>
        <v>0</v>
      </c>
      <c r="C74" s="20">
        <f>COUNTIFS(GameStats!C:C,A74,GameStats!B:B,"&gt;="&amp;$Q$1)</f>
        <v>3</v>
      </c>
      <c r="D74" s="22">
        <f t="shared" si="6"/>
        <v>0</v>
      </c>
      <c r="E74" s="31">
        <f>SUMIFS(GameStats!D:D,GameStats!C:C,A74,GameStats!B:B,"&gt;="&amp;$Q$1)/C74</f>
        <v>9</v>
      </c>
      <c r="F74" s="32">
        <f t="shared" si="7"/>
        <v>0.91761429566024599</v>
      </c>
      <c r="G74" s="20">
        <f>COUNTIFS(GameStats!I:I,A74,GameStats!B:B,"&gt;="&amp;$Q$1)</f>
        <v>1</v>
      </c>
      <c r="H74" s="33">
        <f>SUMIFS(GameStats!F:F,GameStats!C:C,A74,GameStats!B:B,"&gt;="&amp;$Q$1)</f>
        <v>3954</v>
      </c>
      <c r="I74" s="33">
        <f>SUMIFS(GameStats!G:G,GameStats!C:C,A74,GameStats!B:B,"&gt;="&amp;$Q$1)</f>
        <v>4309</v>
      </c>
      <c r="J74" s="33">
        <f t="shared" si="8"/>
        <v>1318</v>
      </c>
      <c r="K74" s="33">
        <f t="shared" si="9"/>
        <v>1436.3333333333333</v>
      </c>
      <c r="L74" s="32">
        <f t="shared" si="10"/>
        <v>0.33333333333333331</v>
      </c>
      <c r="M74" s="29">
        <f>('Elo model'!$E$14*PlayerStats!D230) + ('Elo model'!$F$14*(1/PlayerStats!E230)) + ('Elo model'!$G$14*(PlayerStats!F230/1.75)) + ('Elo model'!$H$14*(PlayerStats!L230/4))</f>
        <v>7.1141088014153031E-2</v>
      </c>
      <c r="N74" s="21">
        <f>_xlfn.MINIFS(GameStats!B:B,GameStats!C:C,A74)</f>
        <v>45471</v>
      </c>
      <c r="O74" s="21">
        <f>_xlfn.MAXIFS(GameStats!B:B,GameStats!C:C,A74)</f>
        <v>45534</v>
      </c>
      <c r="P74" t="b">
        <f t="shared" si="11"/>
        <v>1</v>
      </c>
      <c r="Q74"/>
    </row>
    <row r="75" spans="1:17" ht="14.4" x14ac:dyDescent="0.3">
      <c r="A75" s="20" t="str">
        <f>'All Players'!A196</f>
        <v>mrham</v>
      </c>
      <c r="B75" s="20">
        <f>COUNTIFS(GameStats!C:C,A75,GameStats!D:D,"1",GameStats!B:B,"&gt;="&amp;$Q$1)</f>
        <v>0</v>
      </c>
      <c r="C75" s="20">
        <f>COUNTIFS(GameStats!C:C,A75,GameStats!B:B,"&gt;="&amp;$Q$1)</f>
        <v>3</v>
      </c>
      <c r="D75" s="22">
        <f t="shared" si="6"/>
        <v>0</v>
      </c>
      <c r="E75" s="31">
        <f>SUMIFS(GameStats!D:D,GameStats!C:C,A75,GameStats!B:B,"&gt;="&amp;$Q$1)/C75</f>
        <v>9.3333333333333339</v>
      </c>
      <c r="F75" s="32">
        <f t="shared" si="7"/>
        <v>0.86506499917722557</v>
      </c>
      <c r="G75" s="20">
        <f>COUNTIFS(GameStats!I:I,A75,GameStats!B:B,"&gt;="&amp;$Q$1)</f>
        <v>1</v>
      </c>
      <c r="H75" s="33">
        <f>SUMIFS(GameStats!F:F,GameStats!C:C,A75,GameStats!B:B,"&gt;="&amp;$Q$1)</f>
        <v>5257</v>
      </c>
      <c r="I75" s="33">
        <f>SUMIFS(GameStats!G:G,GameStats!C:C,A75,GameStats!B:B,"&gt;="&amp;$Q$1)</f>
        <v>6077</v>
      </c>
      <c r="J75" s="33">
        <f t="shared" si="8"/>
        <v>1752.3333333333333</v>
      </c>
      <c r="K75" s="33">
        <f t="shared" si="9"/>
        <v>2025.6666666666667</v>
      </c>
      <c r="L75" s="32">
        <f t="shared" si="10"/>
        <v>0.33333333333333331</v>
      </c>
      <c r="M75" s="29">
        <f>('Elo model'!$E$14*PlayerStats!D196) + ('Elo model'!$F$14*(1/PlayerStats!E196)) + ('Elo model'!$G$14*(PlayerStats!F196/1.75)) + ('Elo model'!$H$14*(PlayerStats!L196/4))</f>
        <v>5.5267857142857139E-2</v>
      </c>
      <c r="N75" s="21">
        <f>_xlfn.MINIFS(GameStats!B:B,GameStats!C:C,A75)</f>
        <v>45429</v>
      </c>
      <c r="O75" s="21">
        <f>_xlfn.MAXIFS(GameStats!B:B,GameStats!C:C,A75)</f>
        <v>45464</v>
      </c>
      <c r="P75" t="b">
        <f t="shared" si="11"/>
        <v>1</v>
      </c>
      <c r="Q75"/>
    </row>
    <row r="76" spans="1:17" ht="14.4" x14ac:dyDescent="0.3">
      <c r="A76" s="20" t="str">
        <f>'All Players'!A201</f>
        <v>TheRedBeard</v>
      </c>
      <c r="B76" s="20">
        <f>COUNTIFS(GameStats!C:C,A76,GameStats!D:D,"1",GameStats!B:B,"&gt;="&amp;$Q$1)</f>
        <v>0</v>
      </c>
      <c r="C76" s="20">
        <f>COUNTIFS(GameStats!C:C,A76,GameStats!B:B,"&gt;="&amp;$Q$1)</f>
        <v>3</v>
      </c>
      <c r="D76" s="22">
        <f t="shared" si="6"/>
        <v>0</v>
      </c>
      <c r="E76" s="31">
        <f>SUMIFS(GameStats!D:D,GameStats!C:C,A76,GameStats!B:B,"&gt;="&amp;$Q$1)/C76</f>
        <v>10</v>
      </c>
      <c r="F76" s="32">
        <f t="shared" si="7"/>
        <v>0.96095821523269631</v>
      </c>
      <c r="G76" s="20">
        <f>COUNTIFS(GameStats!I:I,A76,GameStats!B:B,"&gt;="&amp;$Q$1)</f>
        <v>4</v>
      </c>
      <c r="H76" s="33">
        <f>SUMIFS(GameStats!F:F,GameStats!C:C,A76,GameStats!B:B,"&gt;="&amp;$Q$1)</f>
        <v>21020</v>
      </c>
      <c r="I76" s="33">
        <f>SUMIFS(GameStats!G:G,GameStats!C:C,A76,GameStats!B:B,"&gt;="&amp;$Q$1)</f>
        <v>21874</v>
      </c>
      <c r="J76" s="33">
        <f t="shared" si="8"/>
        <v>7006.666666666667</v>
      </c>
      <c r="K76" s="33">
        <f t="shared" si="9"/>
        <v>7291.333333333333</v>
      </c>
      <c r="L76" s="32">
        <f t="shared" si="10"/>
        <v>1.3333333333333333</v>
      </c>
      <c r="M76" s="29">
        <f>('Elo model'!$E$14*PlayerStats!D201) + ('Elo model'!$F$14*(1/PlayerStats!E201)) + ('Elo model'!$G$14*(PlayerStats!F201/1.75)) + ('Elo model'!$H$14*(PlayerStats!L201/4))</f>
        <v>8.8618925831202053E-2</v>
      </c>
      <c r="N76" s="21">
        <f>_xlfn.MINIFS(GameStats!B:B,GameStats!C:C,A76)</f>
        <v>45436</v>
      </c>
      <c r="O76" s="21">
        <f>_xlfn.MAXIFS(GameStats!B:B,GameStats!C:C,A76)</f>
        <v>45520</v>
      </c>
      <c r="P76" t="b">
        <f t="shared" si="11"/>
        <v>1</v>
      </c>
      <c r="Q76"/>
    </row>
    <row r="77" spans="1:17" ht="14.4" x14ac:dyDescent="0.3">
      <c r="A77" s="20" t="str">
        <f>'All Players'!A30</f>
        <v>WageGap</v>
      </c>
      <c r="B77" s="20">
        <f>COUNTIFS(GameStats!C:C,A77,GameStats!D:D,"1",GameStats!B:B,"&gt;="&amp;$Q$1)</f>
        <v>0</v>
      </c>
      <c r="C77" s="20">
        <f>COUNTIFS(GameStats!C:C,A77,GameStats!B:B,"&gt;="&amp;$Q$1)</f>
        <v>3</v>
      </c>
      <c r="D77" s="22">
        <f t="shared" si="6"/>
        <v>0</v>
      </c>
      <c r="E77" s="31">
        <f>SUMIFS(GameStats!D:D,GameStats!C:C,A77,GameStats!B:B,"&gt;="&amp;$Q$1)/C77</f>
        <v>10.666666666666666</v>
      </c>
      <c r="F77" s="32">
        <f t="shared" si="7"/>
        <v>0.87628865979381443</v>
      </c>
      <c r="G77" s="20">
        <f>COUNTIFS(GameStats!I:I,A77,GameStats!B:B,"&gt;="&amp;$Q$1)</f>
        <v>0</v>
      </c>
      <c r="H77" s="33">
        <f>SUMIFS(GameStats!F:F,GameStats!C:C,A77,GameStats!B:B,"&gt;="&amp;$Q$1)</f>
        <v>1955</v>
      </c>
      <c r="I77" s="33">
        <f>SUMIFS(GameStats!G:G,GameStats!C:C,A77,GameStats!B:B,"&gt;="&amp;$Q$1)</f>
        <v>2231</v>
      </c>
      <c r="J77" s="33">
        <f t="shared" si="8"/>
        <v>651.66666666666663</v>
      </c>
      <c r="K77" s="33">
        <f t="shared" si="9"/>
        <v>743.66666666666663</v>
      </c>
      <c r="L77" s="32">
        <f t="shared" si="10"/>
        <v>0</v>
      </c>
      <c r="M77" s="29">
        <f>('Elo model'!$E$14*PlayerStats!D30) + ('Elo model'!$F$14*(1/PlayerStats!E30)) + ('Elo model'!$G$14*PlayerStats!F30) + ('Elo model'!$H$14*(PlayerStats!L30/4))</f>
        <v>0.13606284920951489</v>
      </c>
      <c r="N77" s="21">
        <f>_xlfn.MINIFS(GameStats!B:B,GameStats!C:C,A77)</f>
        <v>44974</v>
      </c>
      <c r="O77" s="21">
        <f>_xlfn.MAXIFS(GameStats!B:B,GameStats!C:C,A77)</f>
        <v>45023</v>
      </c>
      <c r="P77" t="b">
        <f t="shared" si="11"/>
        <v>1</v>
      </c>
    </row>
    <row r="78" spans="1:17" ht="14.4" x14ac:dyDescent="0.3">
      <c r="A78" s="20" t="str">
        <f>'All Players'!A257</f>
        <v>Finwe</v>
      </c>
      <c r="B78" s="20">
        <f>COUNTIFS(GameStats!C:C,A78,GameStats!D:D,"1",GameStats!B:B,"&gt;="&amp;$Q$1)</f>
        <v>0</v>
      </c>
      <c r="C78" s="20">
        <f>COUNTIFS(GameStats!C:C,A78,GameStats!B:B,"&gt;="&amp;$Q$1)</f>
        <v>3</v>
      </c>
      <c r="D78" s="22">
        <f t="shared" si="6"/>
        <v>0</v>
      </c>
      <c r="E78" s="31">
        <f>SUMIFS(GameStats!D:D,GameStats!C:C,A78,GameStats!B:B,"&gt;="&amp;$Q$1)/C78</f>
        <v>12.333333333333334</v>
      </c>
      <c r="F78" s="32">
        <f t="shared" si="7"/>
        <v>0.90401337792642145</v>
      </c>
      <c r="G78" s="20">
        <f>COUNTIFS(GameStats!I:I,A78,GameStats!B:B,"&gt;="&amp;$Q$1)</f>
        <v>0</v>
      </c>
      <c r="H78" s="33">
        <f>SUMIFS(GameStats!F:F,GameStats!C:C,A78,GameStats!B:B,"&gt;="&amp;$Q$1)</f>
        <v>2703</v>
      </c>
      <c r="I78" s="33">
        <f>SUMIFS(GameStats!G:G,GameStats!C:C,A78,GameStats!B:B,"&gt;="&amp;$Q$1)</f>
        <v>2990</v>
      </c>
      <c r="J78" s="33">
        <f t="shared" si="8"/>
        <v>901</v>
      </c>
      <c r="K78" s="33">
        <f t="shared" si="9"/>
        <v>996.66666666666663</v>
      </c>
      <c r="L78" s="32">
        <f t="shared" si="10"/>
        <v>0</v>
      </c>
      <c r="M78" s="29">
        <f>('Elo model'!$E$14*PlayerStats!D257) + ('Elo model'!$F$14*(1/PlayerStats!E257)) + ('Elo model'!$G$14*(PlayerStats!F257/1.75)) + ('Elo model'!$H$14*(PlayerStats!L257/4))</f>
        <v>5.9863945578231291E-2</v>
      </c>
      <c r="N78" s="21">
        <f>_xlfn.MINIFS(GameStats!B:B,GameStats!C:C,A78)</f>
        <v>45506</v>
      </c>
      <c r="O78" s="21">
        <f>_xlfn.MAXIFS(GameStats!B:B,GameStats!C:C,A78)</f>
        <v>45555</v>
      </c>
      <c r="P78" t="b">
        <f t="shared" si="11"/>
        <v>1</v>
      </c>
      <c r="Q78"/>
    </row>
    <row r="79" spans="1:17" ht="14.4" x14ac:dyDescent="0.3">
      <c r="A79" s="20" t="str">
        <f>'All Players'!A133</f>
        <v>reddragon</v>
      </c>
      <c r="B79" s="20">
        <f>COUNTIFS(GameStats!C:C,A79,GameStats!D:D,"1",GameStats!B:B,"&gt;="&amp;$Q$1)</f>
        <v>0</v>
      </c>
      <c r="C79" s="20">
        <f>COUNTIFS(GameStats!C:C,A79,GameStats!B:B,"&gt;="&amp;$Q$1)</f>
        <v>3</v>
      </c>
      <c r="D79" s="22">
        <f t="shared" si="6"/>
        <v>0</v>
      </c>
      <c r="E79" s="31">
        <f>SUMIFS(GameStats!D:D,GameStats!C:C,A79,GameStats!B:B,"&gt;="&amp;$Q$1)/C79</f>
        <v>13.333333333333334</v>
      </c>
      <c r="F79" s="32">
        <f t="shared" si="7"/>
        <v>0.66954022988505746</v>
      </c>
      <c r="G79" s="20">
        <f>COUNTIFS(GameStats!I:I,A79,GameStats!B:B,"&gt;="&amp;$Q$1)</f>
        <v>2</v>
      </c>
      <c r="H79" s="33">
        <f>SUMIFS(GameStats!F:F,GameStats!C:C,A79,GameStats!B:B,"&gt;="&amp;$Q$1)</f>
        <v>1631</v>
      </c>
      <c r="I79" s="33">
        <f>SUMIFS(GameStats!G:G,GameStats!C:C,A79,GameStats!B:B,"&gt;="&amp;$Q$1)</f>
        <v>2436</v>
      </c>
      <c r="J79" s="33">
        <f t="shared" si="8"/>
        <v>543.66666666666663</v>
      </c>
      <c r="K79" s="33">
        <f t="shared" si="9"/>
        <v>812</v>
      </c>
      <c r="L79" s="32">
        <f t="shared" si="10"/>
        <v>0.66666666666666663</v>
      </c>
      <c r="M79" s="29">
        <f>('Elo model'!$E$14*PlayerStats!D133) + ('Elo model'!$F$14*(1/PlayerStats!E133)) + ('Elo model'!$G$14*(PlayerStats!F133/1.75)) + ('Elo model'!$H$14*(PlayerStats!L133/4))</f>
        <v>0.12425394856737876</v>
      </c>
      <c r="N79" s="21">
        <f>_xlfn.MINIFS(GameStats!B:B,GameStats!C:C,A79)</f>
        <v>45373</v>
      </c>
      <c r="O79" s="21">
        <f>_xlfn.MAXIFS(GameStats!B:B,GameStats!C:C,A79)</f>
        <v>45422</v>
      </c>
      <c r="P79" t="b">
        <f t="shared" si="11"/>
        <v>1</v>
      </c>
    </row>
    <row r="80" spans="1:17" ht="14.4" x14ac:dyDescent="0.3">
      <c r="A80" s="20" t="str">
        <f>'All Players'!A205</f>
        <v>inwenis</v>
      </c>
      <c r="B80" s="20">
        <f>COUNTIFS(GameStats!C:C,A80,GameStats!D:D,"1",GameStats!B:B,"&gt;="&amp;$Q$1)</f>
        <v>0</v>
      </c>
      <c r="C80" s="20">
        <f>COUNTIFS(GameStats!C:C,A80,GameStats!B:B,"&gt;="&amp;$Q$1)</f>
        <v>3</v>
      </c>
      <c r="D80" s="22">
        <f t="shared" si="6"/>
        <v>0</v>
      </c>
      <c r="E80" s="31">
        <f>SUMIFS(GameStats!D:D,GameStats!C:C,A80,GameStats!B:B,"&gt;="&amp;$Q$1)/C80</f>
        <v>13.333333333333334</v>
      </c>
      <c r="F80" s="32">
        <f t="shared" si="7"/>
        <v>0.71686203787195668</v>
      </c>
      <c r="G80" s="20">
        <f>COUNTIFS(GameStats!I:I,A80,GameStats!B:B,"&gt;="&amp;$Q$1)</f>
        <v>1</v>
      </c>
      <c r="H80" s="33">
        <f>SUMIFS(GameStats!F:F,GameStats!C:C,A80,GameStats!B:B,"&gt;="&amp;$Q$1)</f>
        <v>795</v>
      </c>
      <c r="I80" s="33">
        <f>SUMIFS(GameStats!G:G,GameStats!C:C,A80,GameStats!B:B,"&gt;="&amp;$Q$1)</f>
        <v>1109</v>
      </c>
      <c r="J80" s="33">
        <f t="shared" si="8"/>
        <v>265</v>
      </c>
      <c r="K80" s="33">
        <f t="shared" si="9"/>
        <v>369.66666666666669</v>
      </c>
      <c r="L80" s="32">
        <f t="shared" si="10"/>
        <v>0.33333333333333331</v>
      </c>
      <c r="M80" s="29">
        <f>('Elo model'!$E$14*PlayerStats!D205) + ('Elo model'!$F$14*(1/PlayerStats!E205)) + ('Elo model'!$G$14*(PlayerStats!F205/1.75)) + ('Elo model'!$H$14*(PlayerStats!L205/4))</f>
        <v>6.0489854478376709E-2</v>
      </c>
      <c r="N80" s="21">
        <f>_xlfn.MINIFS(GameStats!B:B,GameStats!C:C,A80)</f>
        <v>45443</v>
      </c>
      <c r="O80" s="21">
        <f>_xlfn.MAXIFS(GameStats!B:B,GameStats!C:C,A80)</f>
        <v>45513</v>
      </c>
      <c r="P80" t="b">
        <f t="shared" si="11"/>
        <v>1</v>
      </c>
      <c r="Q80"/>
    </row>
    <row r="81" spans="1:17" ht="14.4" x14ac:dyDescent="0.3">
      <c r="A81" s="20" t="str">
        <f>'All Players'!A33</f>
        <v>LcR131n</v>
      </c>
      <c r="B81" s="20">
        <f>COUNTIFS(GameStats!C:C,A81,GameStats!D:D,"1",GameStats!B:B,"&gt;="&amp;$Q$1)</f>
        <v>0</v>
      </c>
      <c r="C81" s="20">
        <f>COUNTIFS(GameStats!C:C,A81,GameStats!B:B,"&gt;="&amp;$Q$1)</f>
        <v>3</v>
      </c>
      <c r="D81" s="22">
        <f t="shared" si="6"/>
        <v>0</v>
      </c>
      <c r="E81" s="31">
        <f>SUMIFS(GameStats!D:D,GameStats!C:C,A81,GameStats!B:B,"&gt;="&amp;$Q$1)/C81</f>
        <v>13.666666666666666</v>
      </c>
      <c r="F81" s="32">
        <f t="shared" si="7"/>
        <v>0.96723102129983618</v>
      </c>
      <c r="G81" s="20">
        <f>COUNTIFS(GameStats!I:I,A81,GameStats!B:B,"&gt;="&amp;$Q$1)</f>
        <v>0</v>
      </c>
      <c r="H81" s="33">
        <f>SUMIFS(GameStats!F:F,GameStats!C:C,A81,GameStats!B:B,"&gt;="&amp;$Q$1)</f>
        <v>1771</v>
      </c>
      <c r="I81" s="33">
        <f>SUMIFS(GameStats!G:G,GameStats!C:C,A81,GameStats!B:B,"&gt;="&amp;$Q$1)</f>
        <v>1831</v>
      </c>
      <c r="J81" s="33">
        <f t="shared" si="8"/>
        <v>590.33333333333337</v>
      </c>
      <c r="K81" s="33">
        <f t="shared" si="9"/>
        <v>610.33333333333337</v>
      </c>
      <c r="L81" s="32">
        <f t="shared" si="10"/>
        <v>0</v>
      </c>
      <c r="M81" s="29">
        <f>('Elo model'!$E$14*PlayerStats!D33) + ('Elo model'!$F$14*(1/PlayerStats!E33)) + ('Elo model'!$G$14*PlayerStats!F33) + ('Elo model'!$H$14*(PlayerStats!L33/4))</f>
        <v>0.15920963208699057</v>
      </c>
      <c r="N81" s="21">
        <f>_xlfn.MINIFS(GameStats!B:B,GameStats!C:C,A81)</f>
        <v>44974</v>
      </c>
      <c r="O81" s="21">
        <f>_xlfn.MAXIFS(GameStats!B:B,GameStats!C:C,A81)</f>
        <v>45527</v>
      </c>
      <c r="P81" t="b">
        <f t="shared" si="11"/>
        <v>1</v>
      </c>
    </row>
    <row r="82" spans="1:17" ht="14.4" x14ac:dyDescent="0.3">
      <c r="A82" s="20" t="str">
        <f>'All Players'!A157</f>
        <v>ziggy</v>
      </c>
      <c r="B82" s="20">
        <f>COUNTIFS(GameStats!C:C,A82,GameStats!D:D,"1",GameStats!B:B,"&gt;="&amp;$Q$1)</f>
        <v>0</v>
      </c>
      <c r="C82" s="20">
        <f>COUNTIFS(GameStats!C:C,A82,GameStats!B:B,"&gt;="&amp;$Q$1)</f>
        <v>3</v>
      </c>
      <c r="D82" s="22">
        <f t="shared" si="6"/>
        <v>0</v>
      </c>
      <c r="E82" s="31">
        <f>SUMIFS(GameStats!D:D,GameStats!C:C,A82,GameStats!B:B,"&gt;="&amp;$Q$1)/C82</f>
        <v>13.666666666666666</v>
      </c>
      <c r="F82" s="32">
        <f t="shared" si="7"/>
        <v>0.44339622641509435</v>
      </c>
      <c r="G82" s="20">
        <f>COUNTIFS(GameStats!I:I,A82,GameStats!B:B,"&gt;="&amp;$Q$1)</f>
        <v>1</v>
      </c>
      <c r="H82" s="33">
        <f>SUMIFS(GameStats!F:F,GameStats!C:C,A82,GameStats!B:B,"&gt;="&amp;$Q$1)</f>
        <v>188</v>
      </c>
      <c r="I82" s="33">
        <f>SUMIFS(GameStats!G:G,GameStats!C:C,A82,GameStats!B:B,"&gt;="&amp;$Q$1)</f>
        <v>424</v>
      </c>
      <c r="J82" s="33">
        <f t="shared" si="8"/>
        <v>62.666666666666664</v>
      </c>
      <c r="K82" s="33">
        <f t="shared" si="9"/>
        <v>141.33333333333334</v>
      </c>
      <c r="L82" s="32">
        <f t="shared" si="10"/>
        <v>0.33333333333333331</v>
      </c>
      <c r="M82" s="29">
        <f>('Elo model'!$E$14*PlayerStats!D157) + ('Elo model'!$F$14*(1/PlayerStats!E157)) + ('Elo model'!$G$14*(PlayerStats!F157/1.75)) + ('Elo model'!$H$14*(PlayerStats!L157/4))</f>
        <v>6.6593151204704978E-2</v>
      </c>
      <c r="N82" s="21">
        <f>_xlfn.MINIFS(GameStats!B:B,GameStats!C:C,A82)</f>
        <v>45394</v>
      </c>
      <c r="O82" s="21">
        <f>_xlfn.MAXIFS(GameStats!B:B,GameStats!C:C,A82)</f>
        <v>45534</v>
      </c>
      <c r="P82" t="b">
        <f t="shared" si="11"/>
        <v>1</v>
      </c>
    </row>
    <row r="83" spans="1:17" ht="14.4" x14ac:dyDescent="0.3">
      <c r="A83" s="20" t="str">
        <f>'All Players'!A58</f>
        <v>scourgelord</v>
      </c>
      <c r="B83" s="20">
        <f>COUNTIFS(GameStats!C:C,A83,GameStats!D:D,"1",GameStats!B:B,"&gt;="&amp;$Q$1)</f>
        <v>0</v>
      </c>
      <c r="C83" s="20">
        <f>COUNTIFS(GameStats!C:C,A83,GameStats!B:B,"&gt;="&amp;$Q$1)</f>
        <v>3</v>
      </c>
      <c r="D83" s="22">
        <f t="shared" si="6"/>
        <v>0</v>
      </c>
      <c r="E83" s="31">
        <f>SUMIFS(GameStats!D:D,GameStats!C:C,A83,GameStats!B:B,"&gt;="&amp;$Q$1)/C83</f>
        <v>14.333333333333334</v>
      </c>
      <c r="F83" s="32">
        <f t="shared" si="7"/>
        <v>0.69828722002635046</v>
      </c>
      <c r="G83" s="20">
        <f>COUNTIFS(GameStats!I:I,A83,GameStats!B:B,"&gt;="&amp;$Q$1)</f>
        <v>0</v>
      </c>
      <c r="H83" s="33">
        <f>SUMIFS(GameStats!F:F,GameStats!C:C,A83,GameStats!B:B,"&gt;="&amp;$Q$1)</f>
        <v>530</v>
      </c>
      <c r="I83" s="33">
        <f>SUMIFS(GameStats!G:G,GameStats!C:C,A83,GameStats!B:B,"&gt;="&amp;$Q$1)</f>
        <v>759</v>
      </c>
      <c r="J83" s="33">
        <f t="shared" si="8"/>
        <v>176.66666666666666</v>
      </c>
      <c r="K83" s="33">
        <f t="shared" si="9"/>
        <v>253</v>
      </c>
      <c r="L83" s="32">
        <f t="shared" si="10"/>
        <v>0</v>
      </c>
      <c r="M83" s="29">
        <f>('Elo model'!$E$14*PlayerStats!D58) + ('Elo model'!$F$14*(1/PlayerStats!E58)) + ('Elo model'!$G$14*(PlayerStats!F58/1.75)) + ('Elo model'!$H$14*(PlayerStats!L58/4))</f>
        <v>9.9702772384710134E-2</v>
      </c>
      <c r="N83" s="21">
        <f>_xlfn.MINIFS(GameStats!B:B,GameStats!C:C,A83)</f>
        <v>45002</v>
      </c>
      <c r="O83" s="21">
        <f>_xlfn.MAXIFS(GameStats!B:B,GameStats!C:C,A83)</f>
        <v>45030</v>
      </c>
      <c r="P83" t="b">
        <f t="shared" si="11"/>
        <v>1</v>
      </c>
    </row>
    <row r="84" spans="1:17" ht="14.4" x14ac:dyDescent="0.3">
      <c r="A84" s="20" t="str">
        <f>'All Players'!A34</f>
        <v>EriktheGreat</v>
      </c>
      <c r="B84" s="20">
        <f>COUNTIFS(GameStats!C:C,A84,GameStats!D:D,"1",GameStats!B:B,"&gt;="&amp;$Q$1)</f>
        <v>1</v>
      </c>
      <c r="C84" s="20">
        <f>COUNTIFS(GameStats!C:C,A84,GameStats!B:B,"&gt;="&amp;$Q$1)</f>
        <v>3</v>
      </c>
      <c r="D84" s="22">
        <f t="shared" si="6"/>
        <v>0.33333333333333331</v>
      </c>
      <c r="E84" s="31">
        <f>SUMIFS(GameStats!D:D,GameStats!C:C,A84,GameStats!B:B,"&gt;="&amp;$Q$1)/C84</f>
        <v>14.666666666666666</v>
      </c>
      <c r="F84" s="32">
        <f t="shared" si="7"/>
        <v>1.2033961792982895</v>
      </c>
      <c r="G84" s="20">
        <f>COUNTIFS(GameStats!I:I,A84,GameStats!B:B,"&gt;="&amp;$Q$1)</f>
        <v>3</v>
      </c>
      <c r="H84" s="33">
        <f>SUMIFS(GameStats!F:F,GameStats!C:C,A84,GameStats!B:B,"&gt;="&amp;$Q$1)</f>
        <v>19276</v>
      </c>
      <c r="I84" s="33">
        <f>SUMIFS(GameStats!G:G,GameStats!C:C,A84,GameStats!B:B,"&gt;="&amp;$Q$1)</f>
        <v>16018</v>
      </c>
      <c r="J84" s="33">
        <f t="shared" si="8"/>
        <v>6425.333333333333</v>
      </c>
      <c r="K84" s="33">
        <f t="shared" si="9"/>
        <v>5339.333333333333</v>
      </c>
      <c r="L84" s="32">
        <f t="shared" si="10"/>
        <v>1</v>
      </c>
      <c r="M84" s="29">
        <f>('Elo model'!$E$14*PlayerStats!D34) + ('Elo model'!$F$14*(1/PlayerStats!E34)) + ('Elo model'!$G$14*PlayerStats!F34) + ('Elo model'!$H$14*(PlayerStats!L34/4))</f>
        <v>0.15958061225726791</v>
      </c>
      <c r="N84" s="21">
        <f>_xlfn.MINIFS(GameStats!B:B,GameStats!C:C,A84)</f>
        <v>44974</v>
      </c>
      <c r="O84" s="21">
        <f>_xlfn.MAXIFS(GameStats!B:B,GameStats!C:C,A84)</f>
        <v>45436</v>
      </c>
      <c r="P84" t="b">
        <f t="shared" si="11"/>
        <v>1</v>
      </c>
    </row>
    <row r="85" spans="1:17" ht="14.4" x14ac:dyDescent="0.3">
      <c r="A85" s="20" t="str">
        <f>'All Players'!A195</f>
        <v>Cokeified</v>
      </c>
      <c r="B85" s="20">
        <f>COUNTIFS(GameStats!C:C,A85,GameStats!D:D,"1",GameStats!B:B,"&gt;="&amp;$Q$1)</f>
        <v>0</v>
      </c>
      <c r="C85" s="20">
        <f>COUNTIFS(GameStats!C:C,A85,GameStats!B:B,"&gt;="&amp;$Q$1)</f>
        <v>3</v>
      </c>
      <c r="D85" s="22">
        <f t="shared" si="6"/>
        <v>0</v>
      </c>
      <c r="E85" s="31">
        <f>SUMIFS(GameStats!D:D,GameStats!C:C,A85,GameStats!B:B,"&gt;="&amp;$Q$1)/C85</f>
        <v>15.666666666666666</v>
      </c>
      <c r="F85" s="32">
        <f t="shared" si="7"/>
        <v>0.59443631039531475</v>
      </c>
      <c r="G85" s="20">
        <f>COUNTIFS(GameStats!I:I,A85,GameStats!B:B,"&gt;="&amp;$Q$1)</f>
        <v>1</v>
      </c>
      <c r="H85" s="33">
        <f>SUMIFS(GameStats!F:F,GameStats!C:C,A85,GameStats!B:B,"&gt;="&amp;$Q$1)</f>
        <v>406</v>
      </c>
      <c r="I85" s="33">
        <f>SUMIFS(GameStats!G:G,GameStats!C:C,A85,GameStats!B:B,"&gt;="&amp;$Q$1)</f>
        <v>683</v>
      </c>
      <c r="J85" s="33">
        <f t="shared" si="8"/>
        <v>135.33333333333334</v>
      </c>
      <c r="K85" s="33">
        <f t="shared" si="9"/>
        <v>227.66666666666666</v>
      </c>
      <c r="L85" s="32">
        <f t="shared" si="10"/>
        <v>0.33333333333333331</v>
      </c>
      <c r="M85" s="29">
        <f>('Elo model'!$E$14*PlayerStats!D195) + ('Elo model'!$F$14*(1/PlayerStats!E195)) + ('Elo model'!$G$14*(PlayerStats!F195/1.75)) + ('Elo model'!$H$14*(PlayerStats!L195/4))</f>
        <v>6.6769435674822408E-2</v>
      </c>
      <c r="N85" s="21">
        <f>_xlfn.MINIFS(GameStats!B:B,GameStats!C:C,A85)</f>
        <v>45429</v>
      </c>
      <c r="O85" s="21">
        <f>_xlfn.MAXIFS(GameStats!B:B,GameStats!C:C,A85)</f>
        <v>45478</v>
      </c>
      <c r="P85" t="b">
        <f t="shared" si="11"/>
        <v>1</v>
      </c>
      <c r="Q85"/>
    </row>
    <row r="86" spans="1:17" ht="14.4" x14ac:dyDescent="0.3">
      <c r="A86" s="20" t="str">
        <f>'All Players'!A69</f>
        <v>Sapphirez</v>
      </c>
      <c r="B86" s="20">
        <f>COUNTIFS(GameStats!C:C,A86,GameStats!D:D,"1",GameStats!B:B,"&gt;="&amp;$Q$1)</f>
        <v>0</v>
      </c>
      <c r="C86" s="20">
        <f>COUNTIFS(GameStats!C:C,A86,GameStats!B:B,"&gt;="&amp;$Q$1)</f>
        <v>3</v>
      </c>
      <c r="D86" s="22">
        <f t="shared" si="6"/>
        <v>0</v>
      </c>
      <c r="E86" s="31">
        <f>SUMIFS(GameStats!D:D,GameStats!C:C,A86,GameStats!B:B,"&gt;="&amp;$Q$1)/C86</f>
        <v>16</v>
      </c>
      <c r="F86" s="32">
        <f t="shared" si="7"/>
        <v>0.72030012505210506</v>
      </c>
      <c r="G86" s="20">
        <f>COUNTIFS(GameStats!I:I,A86,GameStats!B:B,"&gt;="&amp;$Q$1)</f>
        <v>0</v>
      </c>
      <c r="H86" s="33">
        <f>SUMIFS(GameStats!F:F,GameStats!C:C,A86,GameStats!B:B,"&gt;="&amp;$Q$1)</f>
        <v>1728</v>
      </c>
      <c r="I86" s="33">
        <f>SUMIFS(GameStats!G:G,GameStats!C:C,A86,GameStats!B:B,"&gt;="&amp;$Q$1)</f>
        <v>2399</v>
      </c>
      <c r="J86" s="33">
        <f t="shared" si="8"/>
        <v>576</v>
      </c>
      <c r="K86" s="33">
        <f t="shared" si="9"/>
        <v>799.66666666666663</v>
      </c>
      <c r="L86" s="32">
        <f t="shared" si="10"/>
        <v>0</v>
      </c>
      <c r="M86" s="29">
        <f>('Elo model'!$E$14*PlayerStats!D69) + ('Elo model'!$F$14*(1/PlayerStats!E69)) + ('Elo model'!$G$14*(PlayerStats!F69/1.75)) + ('Elo model'!$H$14*(PlayerStats!L69/4))</f>
        <v>0.15998716302952504</v>
      </c>
      <c r="N86" s="21">
        <f>_xlfn.MINIFS(GameStats!B:B,GameStats!C:C,A86)</f>
        <v>45009</v>
      </c>
      <c r="O86" s="21">
        <f>_xlfn.MAXIFS(GameStats!B:B,GameStats!C:C,A86)</f>
        <v>45044</v>
      </c>
      <c r="P86" t="b">
        <f t="shared" si="11"/>
        <v>1</v>
      </c>
      <c r="Q86"/>
    </row>
    <row r="87" spans="1:17" ht="14.4" x14ac:dyDescent="0.3">
      <c r="A87" s="20" t="str">
        <f>'All Players'!A265</f>
        <v>Walid</v>
      </c>
      <c r="B87" s="20">
        <f>COUNTIFS(GameStats!C:C,A87,GameStats!D:D,"1",GameStats!B:B,"&gt;="&amp;$Q$1)</f>
        <v>0</v>
      </c>
      <c r="C87" s="20">
        <f>COUNTIFS(GameStats!C:C,A87,GameStats!B:B,"&gt;="&amp;$Q$1)</f>
        <v>3</v>
      </c>
      <c r="D87" s="22">
        <f t="shared" si="6"/>
        <v>0</v>
      </c>
      <c r="E87" s="31">
        <f>SUMIFS(GameStats!D:D,GameStats!C:C,A87,GameStats!B:B,"&gt;="&amp;$Q$1)/C87</f>
        <v>16</v>
      </c>
      <c r="F87" s="32">
        <f t="shared" si="7"/>
        <v>0.74427480916030531</v>
      </c>
      <c r="G87" s="20">
        <f>COUNTIFS(GameStats!I:I,A87,GameStats!B:B,"&gt;="&amp;$Q$1)</f>
        <v>0</v>
      </c>
      <c r="H87" s="33">
        <f>SUMIFS(GameStats!F:F,GameStats!C:C,A87,GameStats!B:B,"&gt;="&amp;$Q$1)</f>
        <v>390</v>
      </c>
      <c r="I87" s="33">
        <f>SUMIFS(GameStats!G:G,GameStats!C:C,A87,GameStats!B:B,"&gt;="&amp;$Q$1)</f>
        <v>524</v>
      </c>
      <c r="J87" s="33">
        <f t="shared" si="8"/>
        <v>130</v>
      </c>
      <c r="K87" s="33">
        <f t="shared" si="9"/>
        <v>174.66666666666666</v>
      </c>
      <c r="L87" s="32">
        <f t="shared" si="10"/>
        <v>0</v>
      </c>
      <c r="M87" s="29">
        <f>('Elo model'!$E$14*PlayerStats!D265) + ('Elo model'!$F$14*(1/PlayerStats!E265)) + ('Elo model'!$G$14*(PlayerStats!F265/1.75)) + ('Elo model'!$H$14*(PlayerStats!L265/4))</f>
        <v>5.4220779220779211E-2</v>
      </c>
      <c r="N87" s="21">
        <f>_xlfn.MINIFS(GameStats!B:B,GameStats!C:C,A87)</f>
        <v>45527</v>
      </c>
      <c r="O87" s="21">
        <f>_xlfn.MAXIFS(GameStats!B:B,GameStats!C:C,A87)</f>
        <v>45562</v>
      </c>
      <c r="P87" t="b">
        <f t="shared" si="11"/>
        <v>1</v>
      </c>
      <c r="Q87"/>
    </row>
    <row r="88" spans="1:17" ht="14.4" x14ac:dyDescent="0.3">
      <c r="A88" s="20" t="str">
        <f>'All Players'!A104</f>
        <v>Zernez</v>
      </c>
      <c r="B88" s="20">
        <f>COUNTIFS(GameStats!C:C,A88,GameStats!D:D,"1",GameStats!B:B,"&gt;="&amp;$Q$1)</f>
        <v>0</v>
      </c>
      <c r="C88" s="20">
        <f>COUNTIFS(GameStats!C:C,A88,GameStats!B:B,"&gt;="&amp;$Q$1)</f>
        <v>3</v>
      </c>
      <c r="D88" s="22">
        <f t="shared" si="6"/>
        <v>0</v>
      </c>
      <c r="E88" s="31">
        <f>SUMIFS(GameStats!D:D,GameStats!C:C,A88,GameStats!B:B,"&gt;="&amp;$Q$1)/C88</f>
        <v>17.333333333333332</v>
      </c>
      <c r="F88" s="32">
        <f t="shared" si="7"/>
        <v>0.45205479452054792</v>
      </c>
      <c r="G88" s="20">
        <f>COUNTIFS(GameStats!I:I,A88,GameStats!B:B,"&gt;="&amp;$Q$1)</f>
        <v>0</v>
      </c>
      <c r="H88" s="33">
        <f>SUMIFS(GameStats!F:F,GameStats!C:C,A88,GameStats!B:B,"&gt;="&amp;$Q$1)</f>
        <v>132</v>
      </c>
      <c r="I88" s="33">
        <f>SUMIFS(GameStats!G:G,GameStats!C:C,A88,GameStats!B:B,"&gt;="&amp;$Q$1)</f>
        <v>292</v>
      </c>
      <c r="J88" s="33">
        <f t="shared" si="8"/>
        <v>44</v>
      </c>
      <c r="K88" s="33">
        <f t="shared" si="9"/>
        <v>97.333333333333329</v>
      </c>
      <c r="L88" s="32">
        <f t="shared" si="10"/>
        <v>0</v>
      </c>
      <c r="M88" s="29">
        <f>('Elo model'!$E$14*PlayerStats!D104) + ('Elo model'!$F$14*(1/PlayerStats!E104)) + ('Elo model'!$G$14*(PlayerStats!F104/1.75)) + ('Elo model'!$H$14*(PlayerStats!L104/4))</f>
        <v>6.598667053028108E-2</v>
      </c>
      <c r="N88" s="21">
        <f>_xlfn.MINIFS(GameStats!B:B,GameStats!C:C,A88)</f>
        <v>45030</v>
      </c>
      <c r="O88" s="21">
        <f>_xlfn.MAXIFS(GameStats!B:B,GameStats!C:C,A88)</f>
        <v>45373</v>
      </c>
      <c r="P88" t="b">
        <f t="shared" si="11"/>
        <v>1</v>
      </c>
      <c r="Q88"/>
    </row>
    <row r="89" spans="1:17" ht="14.4" x14ac:dyDescent="0.3">
      <c r="A89" s="20" t="str">
        <f>'All Players'!A146</f>
        <v>sryisuck</v>
      </c>
      <c r="B89" s="20">
        <f>COUNTIFS(GameStats!C:C,A89,GameStats!D:D,"1",GameStats!B:B,"&gt;="&amp;$Q$1)</f>
        <v>0</v>
      </c>
      <c r="C89" s="20">
        <f>COUNTIFS(GameStats!C:C,A89,GameStats!B:B,"&gt;="&amp;$Q$1)</f>
        <v>3</v>
      </c>
      <c r="D89" s="22">
        <f t="shared" si="6"/>
        <v>0</v>
      </c>
      <c r="E89" s="31">
        <f>SUMIFS(GameStats!D:D,GameStats!C:C,A89,GameStats!B:B,"&gt;="&amp;$Q$1)/C89</f>
        <v>18</v>
      </c>
      <c r="F89" s="32">
        <f t="shared" si="7"/>
        <v>0.43502824858757061</v>
      </c>
      <c r="G89" s="20">
        <f>COUNTIFS(GameStats!I:I,A89,GameStats!B:B,"&gt;="&amp;$Q$1)</f>
        <v>0</v>
      </c>
      <c r="H89" s="33">
        <f>SUMIFS(GameStats!F:F,GameStats!C:C,A89,GameStats!B:B,"&gt;="&amp;$Q$1)</f>
        <v>154</v>
      </c>
      <c r="I89" s="33">
        <f>SUMIFS(GameStats!G:G,GameStats!C:C,A89,GameStats!B:B,"&gt;="&amp;$Q$1)</f>
        <v>354</v>
      </c>
      <c r="J89" s="33">
        <f t="shared" si="8"/>
        <v>51.333333333333336</v>
      </c>
      <c r="K89" s="33">
        <f t="shared" si="9"/>
        <v>118</v>
      </c>
      <c r="L89" s="32">
        <f t="shared" si="10"/>
        <v>0</v>
      </c>
      <c r="M89" s="29">
        <f>('Elo model'!$E$14*PlayerStats!D146) + ('Elo model'!$F$14*(1/PlayerStats!E146)) + ('Elo model'!$G$14*(PlayerStats!F146/1.75)) + ('Elo model'!$H$14*(PlayerStats!L146/4))</f>
        <v>8.5962566844919777E-2</v>
      </c>
      <c r="N89" s="21">
        <f>_xlfn.MINIFS(GameStats!B:B,GameStats!C:C,A89)</f>
        <v>45380</v>
      </c>
      <c r="O89" s="21">
        <f>_xlfn.MAXIFS(GameStats!B:B,GameStats!C:C,A89)</f>
        <v>45394</v>
      </c>
      <c r="P89" t="b">
        <f t="shared" si="11"/>
        <v>1</v>
      </c>
    </row>
    <row r="90" spans="1:17" ht="14.4" x14ac:dyDescent="0.3">
      <c r="A90" s="20" t="str">
        <f>'All Players'!A233</f>
        <v>Ghost</v>
      </c>
      <c r="B90" s="20">
        <f>COUNTIFS(GameStats!C:C,A90,GameStats!D:D,"1",GameStats!B:B,"&gt;="&amp;$Q$1)</f>
        <v>0</v>
      </c>
      <c r="C90" s="20">
        <f>COUNTIFS(GameStats!C:C,A90,GameStats!B:B,"&gt;="&amp;$Q$1)</f>
        <v>3</v>
      </c>
      <c r="D90" s="22">
        <f t="shared" si="6"/>
        <v>0</v>
      </c>
      <c r="E90" s="31">
        <f>SUMIFS(GameStats!D:D,GameStats!C:C,A90,GameStats!B:B,"&gt;="&amp;$Q$1)/C90</f>
        <v>18</v>
      </c>
      <c r="F90" s="32">
        <f t="shared" si="7"/>
        <v>0.7766323024054983</v>
      </c>
      <c r="G90" s="20">
        <f>COUNTIFS(GameStats!I:I,A90,GameStats!B:B,"&gt;="&amp;$Q$1)</f>
        <v>1</v>
      </c>
      <c r="H90" s="33">
        <f>SUMIFS(GameStats!F:F,GameStats!C:C,A90,GameStats!B:B,"&gt;="&amp;$Q$1)</f>
        <v>226</v>
      </c>
      <c r="I90" s="33">
        <f>SUMIFS(GameStats!G:G,GameStats!C:C,A90,GameStats!B:B,"&gt;="&amp;$Q$1)</f>
        <v>291</v>
      </c>
      <c r="J90" s="33">
        <f t="shared" si="8"/>
        <v>75.333333333333329</v>
      </c>
      <c r="K90" s="33">
        <f t="shared" si="9"/>
        <v>97</v>
      </c>
      <c r="L90" s="32">
        <f t="shared" si="10"/>
        <v>0.33333333333333331</v>
      </c>
      <c r="M90" s="29">
        <f>('Elo model'!$E$14*PlayerStats!D233) + ('Elo model'!$F$14*(1/PlayerStats!E233)) + ('Elo model'!$G$14*(PlayerStats!F233/1.75)) + ('Elo model'!$H$14*(PlayerStats!L233/4))</f>
        <v>5.4445288753799392E-2</v>
      </c>
      <c r="N90" s="21">
        <f>_xlfn.MINIFS(GameStats!B:B,GameStats!C:C,A90)</f>
        <v>45471</v>
      </c>
      <c r="O90" s="21">
        <f>_xlfn.MAXIFS(GameStats!B:B,GameStats!C:C,A90)</f>
        <v>45506</v>
      </c>
      <c r="P90" t="b">
        <f t="shared" si="11"/>
        <v>1</v>
      </c>
      <c r="Q90"/>
    </row>
    <row r="91" spans="1:17" ht="14.4" x14ac:dyDescent="0.3">
      <c r="A91" s="20" t="str">
        <f>'All Players'!A48</f>
        <v>Kapil</v>
      </c>
      <c r="B91" s="20">
        <f>COUNTIFS(GameStats!C:C,A91,GameStats!D:D,"1",GameStats!B:B,"&gt;="&amp;$Q$1)</f>
        <v>0</v>
      </c>
      <c r="C91" s="20">
        <f>COUNTIFS(GameStats!C:C,A91,GameStats!B:B,"&gt;="&amp;$Q$1)</f>
        <v>3</v>
      </c>
      <c r="D91" s="22">
        <f t="shared" si="6"/>
        <v>0</v>
      </c>
      <c r="E91" s="31">
        <f>SUMIFS(GameStats!D:D,GameStats!C:C,A91,GameStats!B:B,"&gt;="&amp;$Q$1)/C91</f>
        <v>20.333333333333332</v>
      </c>
      <c r="F91" s="32">
        <f t="shared" si="7"/>
        <v>0.6635071090047393</v>
      </c>
      <c r="G91" s="20">
        <f>COUNTIFS(GameStats!I:I,A91,GameStats!B:B,"&gt;="&amp;$Q$1)</f>
        <v>0</v>
      </c>
      <c r="H91" s="33">
        <f>SUMIFS(GameStats!F:F,GameStats!C:C,A91,GameStats!B:B,"&gt;="&amp;$Q$1)</f>
        <v>140</v>
      </c>
      <c r="I91" s="33">
        <f>SUMIFS(GameStats!G:G,GameStats!C:C,A91,GameStats!B:B,"&gt;="&amp;$Q$1)</f>
        <v>211</v>
      </c>
      <c r="J91" s="33">
        <f t="shared" si="8"/>
        <v>46.666666666666664</v>
      </c>
      <c r="K91" s="33">
        <f t="shared" si="9"/>
        <v>70.333333333333329</v>
      </c>
      <c r="L91" s="32">
        <f t="shared" si="10"/>
        <v>0</v>
      </c>
      <c r="M91" s="29">
        <f>('Elo model'!$E$14*PlayerStats!D48) + ('Elo model'!$F$14*(1/PlayerStats!E48)) + ('Elo model'!$G$14*(PlayerStats!F48/1.75)) + ('Elo model'!$H$14*(PlayerStats!L48/4))</f>
        <v>0.12255129129754545</v>
      </c>
      <c r="N91" s="21">
        <f>_xlfn.MINIFS(GameStats!B:B,GameStats!C:C,A91)</f>
        <v>44988</v>
      </c>
      <c r="O91" s="21">
        <f>_xlfn.MAXIFS(GameStats!B:B,GameStats!C:C,A91)</f>
        <v>45002</v>
      </c>
      <c r="P91" t="b">
        <f t="shared" si="11"/>
        <v>1</v>
      </c>
    </row>
    <row r="92" spans="1:17" ht="14.4" x14ac:dyDescent="0.3">
      <c r="A92" s="20" t="str">
        <f>'All Players'!A254</f>
        <v>Faker</v>
      </c>
      <c r="B92" s="20">
        <f>COUNTIFS(GameStats!C:C,A92,GameStats!D:D,"1",GameStats!B:B,"&gt;="&amp;$Q$1)</f>
        <v>1</v>
      </c>
      <c r="C92" s="20">
        <f>COUNTIFS(GameStats!C:C,A92,GameStats!B:B,"&gt;="&amp;$Q$1)</f>
        <v>2</v>
      </c>
      <c r="D92" s="22">
        <f t="shared" si="6"/>
        <v>0.5</v>
      </c>
      <c r="E92" s="31">
        <f>SUMIFS(GameStats!D:D,GameStats!C:C,A92,GameStats!B:B,"&gt;="&amp;$Q$1)/C92</f>
        <v>3</v>
      </c>
      <c r="F92" s="32">
        <f t="shared" si="7"/>
        <v>0.88366336633663367</v>
      </c>
      <c r="G92" s="20">
        <f>COUNTIFS(GameStats!I:I,A92,GameStats!B:B,"&gt;="&amp;$Q$1)</f>
        <v>4</v>
      </c>
      <c r="H92" s="33">
        <f>SUMIFS(GameStats!F:F,GameStats!C:C,A92,GameStats!B:B,"&gt;="&amp;$Q$1)</f>
        <v>21420</v>
      </c>
      <c r="I92" s="33">
        <f>SUMIFS(GameStats!G:G,GameStats!C:C,A92,GameStats!B:B,"&gt;="&amp;$Q$1)</f>
        <v>24240</v>
      </c>
      <c r="J92" s="33">
        <f t="shared" si="8"/>
        <v>10710</v>
      </c>
      <c r="K92" s="33">
        <f t="shared" si="9"/>
        <v>12120</v>
      </c>
      <c r="L92" s="32">
        <f t="shared" si="10"/>
        <v>2</v>
      </c>
      <c r="M92" s="29">
        <f>('Elo model'!$E$14*PlayerStats!D254) + ('Elo model'!$F$14*(1/PlayerStats!E254)) + ('Elo model'!$G$14*(PlayerStats!F254/1.75)) + ('Elo model'!$H$14*(PlayerStats!L254/4))</f>
        <v>4.7619047619047616E-2</v>
      </c>
      <c r="N92" s="21">
        <f>_xlfn.MINIFS(GameStats!B:B,GameStats!C:C,A92)</f>
        <v>45506</v>
      </c>
      <c r="O92" s="21">
        <f>_xlfn.MAXIFS(GameStats!B:B,GameStats!C:C,A92)</f>
        <v>45548</v>
      </c>
      <c r="P92" t="b">
        <f t="shared" si="11"/>
        <v>1</v>
      </c>
      <c r="Q92"/>
    </row>
    <row r="93" spans="1:17" ht="14.4" x14ac:dyDescent="0.3">
      <c r="A93" s="20" t="str">
        <f>'All Players'!A244</f>
        <v>Hikimori</v>
      </c>
      <c r="B93" s="20">
        <f>COUNTIFS(GameStats!C:C,A93,GameStats!D:D,"1",GameStats!B:B,"&gt;="&amp;$Q$1)</f>
        <v>0</v>
      </c>
      <c r="C93" s="20">
        <f>COUNTIFS(GameStats!C:C,A93,GameStats!B:B,"&gt;="&amp;$Q$1)</f>
        <v>2</v>
      </c>
      <c r="D93" s="22">
        <f t="shared" si="6"/>
        <v>0</v>
      </c>
      <c r="E93" s="31">
        <f>SUMIFS(GameStats!D:D,GameStats!C:C,A93,GameStats!B:B,"&gt;="&amp;$Q$1)/C93</f>
        <v>3.5</v>
      </c>
      <c r="F93" s="32">
        <f t="shared" si="7"/>
        <v>1.0088683487384462</v>
      </c>
      <c r="G93" s="20">
        <f>COUNTIFS(GameStats!I:I,A93,GameStats!B:B,"&gt;="&amp;$Q$1)</f>
        <v>5</v>
      </c>
      <c r="H93" s="33">
        <f>SUMIFS(GameStats!F:F,GameStats!C:C,A93,GameStats!B:B,"&gt;="&amp;$Q$1)</f>
        <v>8077</v>
      </c>
      <c r="I93" s="33">
        <f>SUMIFS(GameStats!G:G,GameStats!C:C,A93,GameStats!B:B,"&gt;="&amp;$Q$1)</f>
        <v>8006</v>
      </c>
      <c r="J93" s="33">
        <f t="shared" si="8"/>
        <v>4038.5</v>
      </c>
      <c r="K93" s="33">
        <f t="shared" si="9"/>
        <v>4003</v>
      </c>
      <c r="L93" s="32">
        <f t="shared" si="10"/>
        <v>2.5</v>
      </c>
      <c r="M93" s="29">
        <f>('Elo model'!$E$14*PlayerStats!D244) + ('Elo model'!$F$14*(1/PlayerStats!E244)) + ('Elo model'!$G$14*(PlayerStats!F244/1.75)) + ('Elo model'!$H$14*(PlayerStats!L244/4))</f>
        <v>1.6007489952502743E-2</v>
      </c>
      <c r="N93" s="21">
        <f>_xlfn.MINIFS(GameStats!B:B,GameStats!C:C,A93)</f>
        <v>45499</v>
      </c>
      <c r="O93" s="21">
        <f>_xlfn.MAXIFS(GameStats!B:B,GameStats!C:C,A93)</f>
        <v>45541</v>
      </c>
      <c r="P93" t="b">
        <f t="shared" si="11"/>
        <v>1</v>
      </c>
      <c r="Q93"/>
    </row>
    <row r="94" spans="1:17" ht="14.4" x14ac:dyDescent="0.3">
      <c r="A94" s="20" t="str">
        <f>'All Players'!A50</f>
        <v>Unknown</v>
      </c>
      <c r="B94" s="20">
        <f>COUNTIFS(GameStats!C:C,A94,GameStats!D:D,"1",GameStats!B:B,"&gt;="&amp;$Q$1)</f>
        <v>0</v>
      </c>
      <c r="C94" s="20">
        <f>COUNTIFS(GameStats!C:C,A94,GameStats!B:B,"&gt;="&amp;$Q$1)</f>
        <v>2</v>
      </c>
      <c r="D94" s="22">
        <f t="shared" si="6"/>
        <v>0</v>
      </c>
      <c r="E94" s="31">
        <f>SUMIFS(GameStats!D:D,GameStats!C:C,A94,GameStats!B:B,"&gt;="&amp;$Q$1)/C94</f>
        <v>6</v>
      </c>
      <c r="F94" s="32">
        <f t="shared" si="7"/>
        <v>1.2178313253012047</v>
      </c>
      <c r="G94" s="20">
        <f>COUNTIFS(GameStats!I:I,A94,GameStats!B:B,"&gt;="&amp;$Q$1)</f>
        <v>0</v>
      </c>
      <c r="H94" s="33">
        <f>SUMIFS(GameStats!F:F,GameStats!C:C,A94,GameStats!B:B,"&gt;="&amp;$Q$1)</f>
        <v>15162</v>
      </c>
      <c r="I94" s="33">
        <f>SUMIFS(GameStats!G:G,GameStats!C:C,A94,GameStats!B:B,"&gt;="&amp;$Q$1)</f>
        <v>12450</v>
      </c>
      <c r="J94" s="33">
        <f t="shared" si="8"/>
        <v>7581</v>
      </c>
      <c r="K94" s="33">
        <f t="shared" si="9"/>
        <v>6225</v>
      </c>
      <c r="L94" s="32">
        <f t="shared" si="10"/>
        <v>0</v>
      </c>
      <c r="M94" s="29">
        <f>('Elo model'!$E$14*PlayerStats!D50) + ('Elo model'!$F$14*(1/PlayerStats!E50)) + ('Elo model'!$G$14*(PlayerStats!F50/1.75)) + ('Elo model'!$H$14*(PlayerStats!L50/4))</f>
        <v>0.17331902012635303</v>
      </c>
      <c r="N94" s="21">
        <f>_xlfn.MINIFS(GameStats!B:B,GameStats!C:C,A94)</f>
        <v>44995</v>
      </c>
      <c r="O94" s="21">
        <f>_xlfn.MAXIFS(GameStats!B:B,GameStats!C:C,A94)</f>
        <v>45002</v>
      </c>
      <c r="P94" t="b">
        <f t="shared" si="11"/>
        <v>1</v>
      </c>
    </row>
    <row r="95" spans="1:17" ht="14.4" x14ac:dyDescent="0.3">
      <c r="A95" s="20" t="str">
        <f>'All Players'!A78</f>
        <v>TwistyMcPink</v>
      </c>
      <c r="B95" s="20">
        <f>COUNTIFS(GameStats!C:C,A95,GameStats!D:D,"1",GameStats!B:B,"&gt;="&amp;$Q$1)</f>
        <v>0</v>
      </c>
      <c r="C95" s="20">
        <f>COUNTIFS(GameStats!C:C,A95,GameStats!B:B,"&gt;="&amp;$Q$1)</f>
        <v>2</v>
      </c>
      <c r="D95" s="22">
        <f t="shared" si="6"/>
        <v>0</v>
      </c>
      <c r="E95" s="31">
        <f>SUMIFS(GameStats!D:D,GameStats!C:C,A95,GameStats!B:B,"&gt;="&amp;$Q$1)/C95</f>
        <v>7.5</v>
      </c>
      <c r="F95" s="32">
        <f t="shared" si="7"/>
        <v>0.83506343713956166</v>
      </c>
      <c r="G95" s="20">
        <f>COUNTIFS(GameStats!I:I,A95,GameStats!B:B,"&gt;="&amp;$Q$1)</f>
        <v>0</v>
      </c>
      <c r="H95" s="33">
        <f>SUMIFS(GameStats!F:F,GameStats!C:C,A95,GameStats!B:B,"&gt;="&amp;$Q$1)</f>
        <v>724</v>
      </c>
      <c r="I95" s="33">
        <f>SUMIFS(GameStats!G:G,GameStats!C:C,A95,GameStats!B:B,"&gt;="&amp;$Q$1)</f>
        <v>867</v>
      </c>
      <c r="J95" s="33">
        <f t="shared" si="8"/>
        <v>362</v>
      </c>
      <c r="K95" s="33">
        <f t="shared" si="9"/>
        <v>433.5</v>
      </c>
      <c r="L95" s="32">
        <f t="shared" si="10"/>
        <v>0</v>
      </c>
      <c r="M95" s="29">
        <f>('Elo model'!$E$14*PlayerStats!D78) + ('Elo model'!$F$14*(1/PlayerStats!E78)) + ('Elo model'!$G$14*(PlayerStats!F78/1.75)) + ('Elo model'!$H$14*(PlayerStats!L78/4))</f>
        <v>9.775713123539212E-2</v>
      </c>
      <c r="N95" s="21">
        <f>_xlfn.MINIFS(GameStats!B:B,GameStats!C:C,A95)</f>
        <v>45016</v>
      </c>
      <c r="O95" s="21">
        <f>_xlfn.MAXIFS(GameStats!B:B,GameStats!C:C,A95)</f>
        <v>45044</v>
      </c>
      <c r="P95" t="b">
        <f t="shared" si="11"/>
        <v>1</v>
      </c>
    </row>
    <row r="96" spans="1:17" ht="14.4" x14ac:dyDescent="0.3">
      <c r="A96" s="20" t="str">
        <f>'All Players'!A11</f>
        <v>kektus</v>
      </c>
      <c r="B96" s="20">
        <f>COUNTIFS(GameStats!C:C,A96,GameStats!D:D,"1",GameStats!B:B,"&gt;="&amp;$Q$1)</f>
        <v>0</v>
      </c>
      <c r="C96" s="20">
        <f>COUNTIFS(GameStats!C:C,A96,GameStats!B:B,"&gt;="&amp;$Q$1)</f>
        <v>2</v>
      </c>
      <c r="D96" s="22">
        <f t="shared" si="6"/>
        <v>0</v>
      </c>
      <c r="E96" s="31">
        <f>SUMIFS(GameStats!D:D,GameStats!C:C,A96,GameStats!B:B,"&gt;="&amp;$Q$1)/C96</f>
        <v>7.5</v>
      </c>
      <c r="F96" s="32">
        <f t="shared" si="7"/>
        <v>1.0867935409457901</v>
      </c>
      <c r="G96" s="20">
        <f>COUNTIFS(GameStats!I:I,A96,GameStats!B:B,"&gt;="&amp;$Q$1)</f>
        <v>0</v>
      </c>
      <c r="H96" s="33">
        <f>SUMIFS(GameStats!F:F,GameStats!C:C,A96,GameStats!B:B,"&gt;="&amp;$Q$1)</f>
        <v>3769</v>
      </c>
      <c r="I96" s="33">
        <f>SUMIFS(GameStats!G:G,GameStats!C:C,A96,GameStats!B:B,"&gt;="&amp;$Q$1)</f>
        <v>3468</v>
      </c>
      <c r="J96" s="33">
        <f t="shared" si="8"/>
        <v>1884.5</v>
      </c>
      <c r="K96" s="33">
        <f t="shared" si="9"/>
        <v>1734</v>
      </c>
      <c r="L96" s="32">
        <f t="shared" si="10"/>
        <v>0</v>
      </c>
      <c r="M96" s="29">
        <f>('Elo model'!$E$14*PlayerStats!D11) + ('Elo model'!$F$14*(1/PlayerStats!E11)) + ('Elo model'!$G$14*PlayerStats!F11) + ('Elo model'!$H$14*(PlayerStats!L11/4))</f>
        <v>0.18165224322927148</v>
      </c>
      <c r="N96" s="21">
        <f>_xlfn.MINIFS(GameStats!B:B,GameStats!C:C,A96)</f>
        <v>44967</v>
      </c>
      <c r="O96" s="21">
        <f>_xlfn.MAXIFS(GameStats!B:B,GameStats!C:C,A96)</f>
        <v>44974</v>
      </c>
      <c r="P96" t="b">
        <f t="shared" si="11"/>
        <v>1</v>
      </c>
      <c r="Q96"/>
    </row>
    <row r="97" spans="1:17" ht="14.4" x14ac:dyDescent="0.3">
      <c r="A97" s="20" t="str">
        <f>'All Players'!A194</f>
        <v>Dedc3</v>
      </c>
      <c r="B97" s="20">
        <f>COUNTIFS(GameStats!C:C,A97,GameStats!D:D,"1",GameStats!B:B,"&gt;="&amp;$Q$1)</f>
        <v>0</v>
      </c>
      <c r="C97" s="20">
        <f>COUNTIFS(GameStats!C:C,A97,GameStats!B:B,"&gt;="&amp;$Q$1)</f>
        <v>2</v>
      </c>
      <c r="D97" s="22">
        <f t="shared" si="6"/>
        <v>0</v>
      </c>
      <c r="E97" s="31">
        <f>SUMIFS(GameStats!D:D,GameStats!C:C,A97,GameStats!B:B,"&gt;="&amp;$Q$1)/C97</f>
        <v>7.5</v>
      </c>
      <c r="F97" s="32">
        <f t="shared" si="7"/>
        <v>0.92301246464858067</v>
      </c>
      <c r="G97" s="20">
        <f>COUNTIFS(GameStats!I:I,A97,GameStats!B:B,"&gt;="&amp;$Q$1)</f>
        <v>5</v>
      </c>
      <c r="H97" s="33">
        <f>SUMIFS(GameStats!F:F,GameStats!C:C,A97,GameStats!B:B,"&gt;="&amp;$Q$1)</f>
        <v>17624</v>
      </c>
      <c r="I97" s="33">
        <f>SUMIFS(GameStats!G:G,GameStats!C:C,A97,GameStats!B:B,"&gt;="&amp;$Q$1)</f>
        <v>19094</v>
      </c>
      <c r="J97" s="33">
        <f t="shared" si="8"/>
        <v>8812</v>
      </c>
      <c r="K97" s="33">
        <f t="shared" si="9"/>
        <v>9547</v>
      </c>
      <c r="L97" s="32">
        <f t="shared" si="10"/>
        <v>2.5</v>
      </c>
      <c r="M97" s="29">
        <f>('Elo model'!$E$14*PlayerStats!D194) + ('Elo model'!$F$14*(1/PlayerStats!E194)) + ('Elo model'!$G$14*(PlayerStats!F194/1.75)) + ('Elo model'!$H$14*(PlayerStats!L194/4))</f>
        <v>7.0651455026455021E-2</v>
      </c>
      <c r="N97" s="21">
        <f>_xlfn.MINIFS(GameStats!B:B,GameStats!C:C,A97)</f>
        <v>45429</v>
      </c>
      <c r="O97" s="21">
        <f>_xlfn.MAXIFS(GameStats!B:B,GameStats!C:C,A97)</f>
        <v>45436</v>
      </c>
      <c r="P97" t="b">
        <f t="shared" si="11"/>
        <v>1</v>
      </c>
      <c r="Q97"/>
    </row>
    <row r="98" spans="1:17" ht="14.4" x14ac:dyDescent="0.3">
      <c r="A98" s="20" t="str">
        <f>'All Players'!A57</f>
        <v>cadiz32</v>
      </c>
      <c r="B98" s="20">
        <f>COUNTIFS(GameStats!C:C,A98,GameStats!D:D,"1",GameStats!B:B,"&gt;="&amp;$Q$1)</f>
        <v>1</v>
      </c>
      <c r="C98" s="20">
        <f>COUNTIFS(GameStats!C:C,A98,GameStats!B:B,"&gt;="&amp;$Q$1)</f>
        <v>2</v>
      </c>
      <c r="D98" s="22">
        <f t="shared" si="6"/>
        <v>0.5</v>
      </c>
      <c r="E98" s="31">
        <f>SUMIFS(GameStats!D:D,GameStats!C:C,A98,GameStats!B:B,"&gt;="&amp;$Q$1)/C98</f>
        <v>8.5</v>
      </c>
      <c r="F98" s="32">
        <f t="shared" si="7"/>
        <v>0.85679414157851908</v>
      </c>
      <c r="G98" s="20">
        <f>COUNTIFS(GameStats!I:I,A98,GameStats!B:B,"&gt;="&amp;$Q$1)</f>
        <v>1</v>
      </c>
      <c r="H98" s="33">
        <f>SUMIFS(GameStats!F:F,GameStats!C:C,A98,GameStats!B:B,"&gt;="&amp;$Q$1)</f>
        <v>8424</v>
      </c>
      <c r="I98" s="33">
        <f>SUMIFS(GameStats!G:G,GameStats!C:C,A98,GameStats!B:B,"&gt;="&amp;$Q$1)</f>
        <v>9832</v>
      </c>
      <c r="J98" s="33">
        <f t="shared" si="8"/>
        <v>4212</v>
      </c>
      <c r="K98" s="33">
        <f t="shared" si="9"/>
        <v>4916</v>
      </c>
      <c r="L98" s="32">
        <f t="shared" si="10"/>
        <v>0.5</v>
      </c>
      <c r="M98" s="29">
        <f>('Elo model'!$E$14*PlayerStats!D57) + ('Elo model'!$F$14*(1/PlayerStats!E57)) + ('Elo model'!$G$14*(PlayerStats!F57/1.75)) + ('Elo model'!$H$14*(PlayerStats!L57/4))</f>
        <v>9.2586580086580078E-2</v>
      </c>
      <c r="N98" s="21">
        <f>_xlfn.MINIFS(GameStats!B:B,GameStats!C:C,A98)</f>
        <v>45002</v>
      </c>
      <c r="O98" s="21">
        <f>_xlfn.MAXIFS(GameStats!B:B,GameStats!C:C,A98)</f>
        <v>45422</v>
      </c>
      <c r="P98" t="b">
        <f t="shared" si="11"/>
        <v>1</v>
      </c>
      <c r="Q98"/>
    </row>
    <row r="99" spans="1:17" ht="14.4" x14ac:dyDescent="0.3">
      <c r="A99" s="20" t="str">
        <f>'All Players'!A126</f>
        <v>noctis</v>
      </c>
      <c r="B99" s="20">
        <f>COUNTIFS(GameStats!C:C,A99,GameStats!D:D,"1",GameStats!B:B,"&gt;="&amp;$Q$1)</f>
        <v>0</v>
      </c>
      <c r="C99" s="20">
        <f>COUNTIFS(GameStats!C:C,A99,GameStats!B:B,"&gt;="&amp;$Q$1)</f>
        <v>2</v>
      </c>
      <c r="D99" s="22">
        <f t="shared" si="6"/>
        <v>0</v>
      </c>
      <c r="E99" s="31">
        <f>SUMIFS(GameStats!D:D,GameStats!C:C,A99,GameStats!B:B,"&gt;="&amp;$Q$1)/C99</f>
        <v>9</v>
      </c>
      <c r="F99" s="32">
        <f t="shared" si="7"/>
        <v>0.67449481157837243</v>
      </c>
      <c r="G99" s="20">
        <f>COUNTIFS(GameStats!I:I,A99,GameStats!B:B,"&gt;="&amp;$Q$1)</f>
        <v>1</v>
      </c>
      <c r="H99" s="33">
        <f>SUMIFS(GameStats!F:F,GameStats!C:C,A99,GameStats!B:B,"&gt;="&amp;$Q$1)</f>
        <v>2470</v>
      </c>
      <c r="I99" s="33">
        <f>SUMIFS(GameStats!G:G,GameStats!C:C,A99,GameStats!B:B,"&gt;="&amp;$Q$1)</f>
        <v>3662</v>
      </c>
      <c r="J99" s="33">
        <f t="shared" si="8"/>
        <v>1235</v>
      </c>
      <c r="K99" s="33">
        <f t="shared" si="9"/>
        <v>1831</v>
      </c>
      <c r="L99" s="32">
        <f t="shared" si="10"/>
        <v>0.5</v>
      </c>
      <c r="M99" s="29">
        <f>('Elo model'!$E$14*PlayerStats!D126) + ('Elo model'!$F$14*(1/PlayerStats!E126)) + ('Elo model'!$G$14*(PlayerStats!F126/1.75)) + ('Elo model'!$H$14*(PlayerStats!L126/4))</f>
        <v>8.7336826622540914E-2</v>
      </c>
      <c r="N99" s="21">
        <f>_xlfn.MINIFS(GameStats!B:B,GameStats!C:C,A99)</f>
        <v>45366</v>
      </c>
      <c r="O99" s="21">
        <f>_xlfn.MAXIFS(GameStats!B:B,GameStats!C:C,A99)</f>
        <v>45387</v>
      </c>
      <c r="P99" t="b">
        <f t="shared" si="11"/>
        <v>1</v>
      </c>
    </row>
    <row r="100" spans="1:17" ht="14.4" x14ac:dyDescent="0.3">
      <c r="A100" s="20" t="str">
        <f>'All Players'!A74</f>
        <v>hasooon</v>
      </c>
      <c r="B100" s="20">
        <f>COUNTIFS(GameStats!C:C,A100,GameStats!D:D,"1",GameStats!B:B,"&gt;="&amp;$Q$1)</f>
        <v>0</v>
      </c>
      <c r="C100" s="20">
        <f>COUNTIFS(GameStats!C:C,A100,GameStats!B:B,"&gt;="&amp;$Q$1)</f>
        <v>2</v>
      </c>
      <c r="D100" s="22">
        <f t="shared" si="6"/>
        <v>0</v>
      </c>
      <c r="E100" s="31">
        <f>SUMIFS(GameStats!D:D,GameStats!C:C,A100,GameStats!B:B,"&gt;="&amp;$Q$1)/C100</f>
        <v>9.5</v>
      </c>
      <c r="F100" s="32">
        <f t="shared" si="7"/>
        <v>0.83165382335506821</v>
      </c>
      <c r="G100" s="20">
        <f>COUNTIFS(GameStats!I:I,A100,GameStats!B:B,"&gt;="&amp;$Q$1)</f>
        <v>0</v>
      </c>
      <c r="H100" s="33">
        <f>SUMIFS(GameStats!F:F,GameStats!C:C,A100,GameStats!B:B,"&gt;="&amp;$Q$1)</f>
        <v>1403</v>
      </c>
      <c r="I100" s="33">
        <f>SUMIFS(GameStats!G:G,GameStats!C:C,A100,GameStats!B:B,"&gt;="&amp;$Q$1)</f>
        <v>1687</v>
      </c>
      <c r="J100" s="33">
        <f t="shared" si="8"/>
        <v>701.5</v>
      </c>
      <c r="K100" s="33">
        <f t="shared" si="9"/>
        <v>843.5</v>
      </c>
      <c r="L100" s="32">
        <f t="shared" si="10"/>
        <v>0</v>
      </c>
      <c r="M100" s="29">
        <f>('Elo model'!$E$14*PlayerStats!D74) + ('Elo model'!$F$14*(1/PlayerStats!E74)) + ('Elo model'!$G$14*(PlayerStats!F74/1.75)) + ('Elo model'!$H$14*(PlayerStats!L74/4))</f>
        <v>0.11476376502484648</v>
      </c>
      <c r="N100" s="21">
        <f>_xlfn.MINIFS(GameStats!B:B,GameStats!C:C,A100)</f>
        <v>45016</v>
      </c>
      <c r="O100" s="21">
        <f>_xlfn.MAXIFS(GameStats!B:B,GameStats!C:C,A100)</f>
        <v>45366</v>
      </c>
      <c r="P100" t="b">
        <f t="shared" si="11"/>
        <v>1</v>
      </c>
    </row>
    <row r="101" spans="1:17" ht="14.4" x14ac:dyDescent="0.3">
      <c r="A101" s="20" t="str">
        <f>'All Players'!A256</f>
        <v>SleepyJoe</v>
      </c>
      <c r="B101" s="20">
        <f>COUNTIFS(GameStats!C:C,A101,GameStats!D:D,"1",GameStats!B:B,"&gt;="&amp;$Q$1)</f>
        <v>0</v>
      </c>
      <c r="C101" s="20">
        <f>COUNTIFS(GameStats!C:C,A101,GameStats!B:B,"&gt;="&amp;$Q$1)</f>
        <v>2</v>
      </c>
      <c r="D101" s="22">
        <f t="shared" si="6"/>
        <v>0</v>
      </c>
      <c r="E101" s="31">
        <f>SUMIFS(GameStats!D:D,GameStats!C:C,A101,GameStats!B:B,"&gt;="&amp;$Q$1)/C101</f>
        <v>10</v>
      </c>
      <c r="F101" s="32">
        <f t="shared" si="7"/>
        <v>0.78171641791044777</v>
      </c>
      <c r="G101" s="20">
        <f>COUNTIFS(GameStats!I:I,A101,GameStats!B:B,"&gt;="&amp;$Q$1)</f>
        <v>0</v>
      </c>
      <c r="H101" s="33">
        <f>SUMIFS(GameStats!F:F,GameStats!C:C,A101,GameStats!B:B,"&gt;="&amp;$Q$1)</f>
        <v>419</v>
      </c>
      <c r="I101" s="33">
        <f>SUMIFS(GameStats!G:G,GameStats!C:C,A101,GameStats!B:B,"&gt;="&amp;$Q$1)</f>
        <v>536</v>
      </c>
      <c r="J101" s="33">
        <f t="shared" si="8"/>
        <v>209.5</v>
      </c>
      <c r="K101" s="33">
        <f t="shared" si="9"/>
        <v>268</v>
      </c>
      <c r="L101" s="32">
        <f t="shared" si="10"/>
        <v>0</v>
      </c>
      <c r="M101" s="29">
        <f>('Elo model'!$E$14*PlayerStats!D256) + ('Elo model'!$F$14*(1/PlayerStats!E256)) + ('Elo model'!$G$14*(PlayerStats!F256/1.75)) + ('Elo model'!$H$14*(PlayerStats!L256/4))</f>
        <v>7.0441347270615559E-2</v>
      </c>
      <c r="N101" s="21">
        <f>_xlfn.MINIFS(GameStats!B:B,GameStats!C:C,A101)</f>
        <v>45506</v>
      </c>
      <c r="O101" s="21">
        <f>_xlfn.MAXIFS(GameStats!B:B,GameStats!C:C,A101)</f>
        <v>45513</v>
      </c>
      <c r="P101" t="b">
        <f t="shared" si="11"/>
        <v>1</v>
      </c>
      <c r="Q101"/>
    </row>
    <row r="102" spans="1:17" ht="14.4" x14ac:dyDescent="0.3">
      <c r="A102" s="20" t="str">
        <f>'All Players'!A186</f>
        <v>BioBenji</v>
      </c>
      <c r="B102" s="20">
        <f>COUNTIFS(GameStats!C:C,A102,GameStats!D:D,"1",GameStats!B:B,"&gt;="&amp;$Q$1)</f>
        <v>0</v>
      </c>
      <c r="C102" s="20">
        <f>COUNTIFS(GameStats!C:C,A102,GameStats!B:B,"&gt;="&amp;$Q$1)</f>
        <v>2</v>
      </c>
      <c r="D102" s="22">
        <f t="shared" si="6"/>
        <v>0</v>
      </c>
      <c r="E102" s="31">
        <f>SUMIFS(GameStats!D:D,GameStats!C:C,A102,GameStats!B:B,"&gt;="&amp;$Q$1)/C102</f>
        <v>10.5</v>
      </c>
      <c r="F102" s="32">
        <f t="shared" si="7"/>
        <v>0.4676483712628291</v>
      </c>
      <c r="G102" s="20">
        <f>COUNTIFS(GameStats!I:I,A102,GameStats!B:B,"&gt;="&amp;$Q$1)</f>
        <v>1</v>
      </c>
      <c r="H102" s="33">
        <f>SUMIFS(GameStats!F:F,GameStats!C:C,A102,GameStats!B:B,"&gt;="&amp;$Q$1)</f>
        <v>1048</v>
      </c>
      <c r="I102" s="33">
        <f>SUMIFS(GameStats!G:G,GameStats!C:C,A102,GameStats!B:B,"&gt;="&amp;$Q$1)</f>
        <v>2241</v>
      </c>
      <c r="J102" s="33">
        <f t="shared" si="8"/>
        <v>524</v>
      </c>
      <c r="K102" s="33">
        <f t="shared" si="9"/>
        <v>1120.5</v>
      </c>
      <c r="L102" s="32">
        <f t="shared" si="10"/>
        <v>0.5</v>
      </c>
      <c r="M102" s="29">
        <f>('Elo model'!$E$14*PlayerStats!D186) + ('Elo model'!$F$14*(1/PlayerStats!E186)) + ('Elo model'!$G$14*(PlayerStats!F186/1.75)) + ('Elo model'!$H$14*(PlayerStats!L186/4))</f>
        <v>9.2053930005737236E-2</v>
      </c>
      <c r="N102" s="21">
        <f>_xlfn.MINIFS(GameStats!B:B,GameStats!C:C,A102)</f>
        <v>45422</v>
      </c>
      <c r="O102" s="21">
        <f>_xlfn.MAXIFS(GameStats!B:B,GameStats!C:C,A102)</f>
        <v>45506</v>
      </c>
      <c r="P102" t="b">
        <f t="shared" si="11"/>
        <v>1</v>
      </c>
      <c r="Q102"/>
    </row>
    <row r="103" spans="1:17" ht="14.4" x14ac:dyDescent="0.3">
      <c r="A103" s="20" t="str">
        <f>'All Players'!A89</f>
        <v>Poomonky</v>
      </c>
      <c r="B103" s="20">
        <f>COUNTIFS(GameStats!C:C,A103,GameStats!D:D,"1",GameStats!B:B,"&gt;="&amp;$Q$1)</f>
        <v>0</v>
      </c>
      <c r="C103" s="20">
        <f>COUNTIFS(GameStats!C:C,A103,GameStats!B:B,"&gt;="&amp;$Q$1)</f>
        <v>2</v>
      </c>
      <c r="D103" s="22">
        <f t="shared" si="6"/>
        <v>0</v>
      </c>
      <c r="E103" s="31">
        <f>SUMIFS(GameStats!D:D,GameStats!C:C,A103,GameStats!B:B,"&gt;="&amp;$Q$1)/C103</f>
        <v>10.5</v>
      </c>
      <c r="F103" s="32">
        <f t="shared" si="7"/>
        <v>0.89195979899497491</v>
      </c>
      <c r="G103" s="20">
        <f>COUNTIFS(GameStats!I:I,A103,GameStats!B:B,"&gt;="&amp;$Q$1)</f>
        <v>0</v>
      </c>
      <c r="H103" s="33">
        <f>SUMIFS(GameStats!F:F,GameStats!C:C,A103,GameStats!B:B,"&gt;="&amp;$Q$1)</f>
        <v>710</v>
      </c>
      <c r="I103" s="33">
        <f>SUMIFS(GameStats!G:G,GameStats!C:C,A103,GameStats!B:B,"&gt;="&amp;$Q$1)</f>
        <v>796</v>
      </c>
      <c r="J103" s="33">
        <f t="shared" si="8"/>
        <v>355</v>
      </c>
      <c r="K103" s="33">
        <f t="shared" si="9"/>
        <v>398</v>
      </c>
      <c r="L103" s="32">
        <f t="shared" si="10"/>
        <v>0</v>
      </c>
      <c r="M103" s="29">
        <f>('Elo model'!$E$14*PlayerStats!D89) + ('Elo model'!$F$14*(1/PlayerStats!E89)) + ('Elo model'!$G$14*(PlayerStats!F89/1.75)) + ('Elo model'!$H$14*(PlayerStats!L89/4))</f>
        <v>5.1177024482109222E-2</v>
      </c>
      <c r="N103" s="21">
        <f>_xlfn.MINIFS(GameStats!B:B,GameStats!C:C,A103)</f>
        <v>45023</v>
      </c>
      <c r="O103" s="21">
        <f>_xlfn.MAXIFS(GameStats!B:B,GameStats!C:C,A103)</f>
        <v>45415</v>
      </c>
      <c r="P103" t="b">
        <f t="shared" si="11"/>
        <v>1</v>
      </c>
      <c r="Q103"/>
    </row>
    <row r="104" spans="1:17" ht="14.4" x14ac:dyDescent="0.3">
      <c r="A104" s="20" t="str">
        <f>'All Players'!A62</f>
        <v>Tempus</v>
      </c>
      <c r="B104" s="20">
        <f>COUNTIFS(GameStats!C:C,A104,GameStats!D:D,"1",GameStats!B:B,"&gt;="&amp;$Q$1)</f>
        <v>0</v>
      </c>
      <c r="C104" s="20">
        <f>COUNTIFS(GameStats!C:C,A104,GameStats!B:B,"&gt;="&amp;$Q$1)</f>
        <v>2</v>
      </c>
      <c r="D104" s="22">
        <f t="shared" si="6"/>
        <v>0</v>
      </c>
      <c r="E104" s="31">
        <f>SUMIFS(GameStats!D:D,GameStats!C:C,A104,GameStats!B:B,"&gt;="&amp;$Q$1)/C104</f>
        <v>12.5</v>
      </c>
      <c r="F104" s="32">
        <f t="shared" si="7"/>
        <v>0.5365111561866126</v>
      </c>
      <c r="G104" s="20">
        <f>COUNTIFS(GameStats!I:I,A104,GameStats!B:B,"&gt;="&amp;$Q$1)</f>
        <v>0</v>
      </c>
      <c r="H104" s="33">
        <f>SUMIFS(GameStats!F:F,GameStats!C:C,A104,GameStats!B:B,"&gt;="&amp;$Q$1)</f>
        <v>529</v>
      </c>
      <c r="I104" s="33">
        <f>SUMIFS(GameStats!G:G,GameStats!C:C,A104,GameStats!B:B,"&gt;="&amp;$Q$1)</f>
        <v>986</v>
      </c>
      <c r="J104" s="33">
        <f t="shared" si="8"/>
        <v>264.5</v>
      </c>
      <c r="K104" s="33">
        <f t="shared" si="9"/>
        <v>493</v>
      </c>
      <c r="L104" s="32">
        <f t="shared" si="10"/>
        <v>0</v>
      </c>
      <c r="M104" s="29">
        <f>('Elo model'!$E$14*PlayerStats!D62) + ('Elo model'!$F$14*(1/PlayerStats!E62)) + ('Elo model'!$G$14*(PlayerStats!F62/1.75)) + ('Elo model'!$H$14*(PlayerStats!L62/4))</f>
        <v>0.11549866080833007</v>
      </c>
      <c r="N104" s="21">
        <f>_xlfn.MINIFS(GameStats!B:B,GameStats!C:C,A104)</f>
        <v>45009</v>
      </c>
      <c r="O104" s="21">
        <f>_xlfn.MAXIFS(GameStats!B:B,GameStats!C:C,A104)</f>
        <v>45016</v>
      </c>
      <c r="P104" t="b">
        <f t="shared" si="11"/>
        <v>1</v>
      </c>
      <c r="Q104"/>
    </row>
    <row r="105" spans="1:17" ht="14.4" x14ac:dyDescent="0.3">
      <c r="A105" s="20" t="str">
        <f>'All Players'!A156</f>
        <v>dane</v>
      </c>
      <c r="B105" s="20">
        <f>COUNTIFS(GameStats!C:C,A105,GameStats!D:D,"1",GameStats!B:B,"&gt;="&amp;$Q$1)</f>
        <v>0</v>
      </c>
      <c r="C105" s="20">
        <f>COUNTIFS(GameStats!C:C,A105,GameStats!B:B,"&gt;="&amp;$Q$1)</f>
        <v>2</v>
      </c>
      <c r="D105" s="22">
        <f t="shared" si="6"/>
        <v>0</v>
      </c>
      <c r="E105" s="31">
        <f>SUMIFS(GameStats!D:D,GameStats!C:C,A105,GameStats!B:B,"&gt;="&amp;$Q$1)/C105</f>
        <v>13.5</v>
      </c>
      <c r="F105" s="32">
        <f t="shared" si="7"/>
        <v>0.44776119402985076</v>
      </c>
      <c r="G105" s="20">
        <f>COUNTIFS(GameStats!I:I,A105,GameStats!B:B,"&gt;="&amp;$Q$1)</f>
        <v>0</v>
      </c>
      <c r="H105" s="33">
        <f>SUMIFS(GameStats!F:F,GameStats!C:C,A105,GameStats!B:B,"&gt;="&amp;$Q$1)</f>
        <v>180</v>
      </c>
      <c r="I105" s="33">
        <f>SUMIFS(GameStats!G:G,GameStats!C:C,A105,GameStats!B:B,"&gt;="&amp;$Q$1)</f>
        <v>402</v>
      </c>
      <c r="J105" s="33">
        <f t="shared" si="8"/>
        <v>90</v>
      </c>
      <c r="K105" s="33">
        <f t="shared" si="9"/>
        <v>201</v>
      </c>
      <c r="L105" s="32">
        <f t="shared" si="10"/>
        <v>0</v>
      </c>
      <c r="M105" s="29">
        <f>('Elo model'!$E$14*PlayerStats!D156) + ('Elo model'!$F$14*(1/PlayerStats!E156)) + ('Elo model'!$G$14*(PlayerStats!F156/1.75)) + ('Elo model'!$H$14*(PlayerStats!L156/4))</f>
        <v>9.8506193522184982E-2</v>
      </c>
      <c r="N105" s="21">
        <f>_xlfn.MINIFS(GameStats!B:B,GameStats!C:C,A105)</f>
        <v>45394</v>
      </c>
      <c r="O105" s="21">
        <f>_xlfn.MAXIFS(GameStats!B:B,GameStats!C:C,A105)</f>
        <v>45408</v>
      </c>
      <c r="P105" t="b">
        <f t="shared" si="11"/>
        <v>1</v>
      </c>
      <c r="Q105"/>
    </row>
    <row r="106" spans="1:17" ht="14.4" x14ac:dyDescent="0.3">
      <c r="A106" s="20" t="str">
        <f>'All Players'!A16</f>
        <v>BuFuKerri</v>
      </c>
      <c r="B106" s="20">
        <f>COUNTIFS(GameStats!C:C,A106,GameStats!D:D,"1",GameStats!B:B,"&gt;="&amp;$Q$1)</f>
        <v>0</v>
      </c>
      <c r="C106" s="20">
        <f>COUNTIFS(GameStats!C:C,A106,GameStats!B:B,"&gt;="&amp;$Q$1)</f>
        <v>2</v>
      </c>
      <c r="D106" s="22">
        <f t="shared" si="6"/>
        <v>0</v>
      </c>
      <c r="E106" s="31">
        <f>SUMIFS(GameStats!D:D,GameStats!C:C,A106,GameStats!B:B,"&gt;="&amp;$Q$1)/C106</f>
        <v>14.5</v>
      </c>
      <c r="F106" s="32">
        <f t="shared" si="7"/>
        <v>0.42877094972067037</v>
      </c>
      <c r="G106" s="20">
        <f>COUNTIFS(GameStats!I:I,A106,GameStats!B:B,"&gt;="&amp;$Q$1)</f>
        <v>0</v>
      </c>
      <c r="H106" s="33">
        <f>SUMIFS(GameStats!F:F,GameStats!C:C,A106,GameStats!B:B,"&gt;="&amp;$Q$1)</f>
        <v>307</v>
      </c>
      <c r="I106" s="33">
        <f>SUMIFS(GameStats!G:G,GameStats!C:C,A106,GameStats!B:B,"&gt;="&amp;$Q$1)</f>
        <v>716</v>
      </c>
      <c r="J106" s="33">
        <f t="shared" si="8"/>
        <v>153.5</v>
      </c>
      <c r="K106" s="33">
        <f t="shared" si="9"/>
        <v>358</v>
      </c>
      <c r="L106" s="32">
        <f t="shared" si="10"/>
        <v>0</v>
      </c>
      <c r="M106" s="29">
        <f>('Elo model'!$E$14*PlayerStats!D16) + ('Elo model'!$F$14*(1/PlayerStats!E16)) + ('Elo model'!$G$14*PlayerStats!F16) + ('Elo model'!$H$14*(PlayerStats!L16/4))</f>
        <v>0.23165505988326776</v>
      </c>
      <c r="N106" s="21">
        <f>_xlfn.MINIFS(GameStats!B:B,GameStats!C:C,A106)</f>
        <v>44967</v>
      </c>
      <c r="O106" s="21">
        <f>_xlfn.MAXIFS(GameStats!B:B,GameStats!C:C,A106)</f>
        <v>44974</v>
      </c>
      <c r="P106" t="b">
        <f t="shared" si="11"/>
        <v>1</v>
      </c>
      <c r="Q106"/>
    </row>
    <row r="107" spans="1:17" ht="14.4" x14ac:dyDescent="0.3">
      <c r="A107" s="20" t="str">
        <f>'All Players'!A259</f>
        <v>bambucha</v>
      </c>
      <c r="B107" s="20">
        <f>COUNTIFS(GameStats!C:C,A107,GameStats!D:D,"1",GameStats!B:B,"&gt;="&amp;$Q$1)</f>
        <v>0</v>
      </c>
      <c r="C107" s="20">
        <f>COUNTIFS(GameStats!C:C,A107,GameStats!B:B,"&gt;="&amp;$Q$1)</f>
        <v>2</v>
      </c>
      <c r="D107" s="22">
        <f t="shared" si="6"/>
        <v>0</v>
      </c>
      <c r="E107" s="31">
        <f>SUMIFS(GameStats!D:D,GameStats!C:C,A107,GameStats!B:B,"&gt;="&amp;$Q$1)/C107</f>
        <v>15.5</v>
      </c>
      <c r="F107" s="32">
        <f t="shared" si="7"/>
        <v>0.69277108433734935</v>
      </c>
      <c r="G107" s="20">
        <f>COUNTIFS(GameStats!I:I,A107,GameStats!B:B,"&gt;="&amp;$Q$1)</f>
        <v>0</v>
      </c>
      <c r="H107" s="33">
        <f>SUMIFS(GameStats!F:F,GameStats!C:C,A107,GameStats!B:B,"&gt;="&amp;$Q$1)</f>
        <v>230</v>
      </c>
      <c r="I107" s="33">
        <f>SUMIFS(GameStats!G:G,GameStats!C:C,A107,GameStats!B:B,"&gt;="&amp;$Q$1)</f>
        <v>332</v>
      </c>
      <c r="J107" s="33">
        <f t="shared" si="8"/>
        <v>115</v>
      </c>
      <c r="K107" s="33">
        <f t="shared" si="9"/>
        <v>166</v>
      </c>
      <c r="L107" s="32">
        <f t="shared" si="10"/>
        <v>0</v>
      </c>
      <c r="M107" s="29">
        <f>('Elo model'!$E$14*PlayerStats!D259) + ('Elo model'!$F$14*(1/PlayerStats!E259)) + ('Elo model'!$G$14*(PlayerStats!F259/1.75)) + ('Elo model'!$H$14*(PlayerStats!L259/4))</f>
        <v>6.7543859649122809E-2</v>
      </c>
      <c r="N107" s="21">
        <f>_xlfn.MINIFS(GameStats!B:B,GameStats!C:C,A107)</f>
        <v>45513</v>
      </c>
      <c r="O107" s="21">
        <f>_xlfn.MAXIFS(GameStats!B:B,GameStats!C:C,A107)</f>
        <v>45569</v>
      </c>
      <c r="P107" t="b">
        <f t="shared" si="11"/>
        <v>1</v>
      </c>
      <c r="Q107"/>
    </row>
    <row r="108" spans="1:17" ht="14.4" x14ac:dyDescent="0.3">
      <c r="A108" s="20" t="str">
        <f>'All Players'!A14</f>
        <v>YesIAm</v>
      </c>
      <c r="B108" s="20">
        <f>COUNTIFS(GameStats!C:C,A108,GameStats!D:D,"1",GameStats!B:B,"&gt;="&amp;$Q$1)</f>
        <v>0</v>
      </c>
      <c r="C108" s="20">
        <f>COUNTIFS(GameStats!C:C,A108,GameStats!B:B,"&gt;="&amp;$Q$1)</f>
        <v>2</v>
      </c>
      <c r="D108" s="22">
        <f t="shared" si="6"/>
        <v>0</v>
      </c>
      <c r="E108" s="31">
        <f>SUMIFS(GameStats!D:D,GameStats!C:C,A108,GameStats!B:B,"&gt;="&amp;$Q$1)/C108</f>
        <v>16</v>
      </c>
      <c r="F108" s="32">
        <f t="shared" si="7"/>
        <v>0.78245614035087718</v>
      </c>
      <c r="G108" s="20">
        <f>COUNTIFS(GameStats!I:I,A108,GameStats!B:B,"&gt;="&amp;$Q$1)</f>
        <v>0</v>
      </c>
      <c r="H108" s="33">
        <f>SUMIFS(GameStats!F:F,GameStats!C:C,A108,GameStats!B:B,"&gt;="&amp;$Q$1)</f>
        <v>223</v>
      </c>
      <c r="I108" s="33">
        <f>SUMIFS(GameStats!G:G,GameStats!C:C,A108,GameStats!B:B,"&gt;="&amp;$Q$1)</f>
        <v>285</v>
      </c>
      <c r="J108" s="33">
        <f t="shared" si="8"/>
        <v>111.5</v>
      </c>
      <c r="K108" s="33">
        <f t="shared" si="9"/>
        <v>142.5</v>
      </c>
      <c r="L108" s="32">
        <f t="shared" si="10"/>
        <v>0</v>
      </c>
      <c r="M108" s="29">
        <f>('Elo model'!$E$14*PlayerStats!D14) + ('Elo model'!$F$14*(1/PlayerStats!E14)) + ('Elo model'!$G$14*PlayerStats!F14) + ('Elo model'!$H$14*(PlayerStats!L14/4))</f>
        <v>0.18493125272498695</v>
      </c>
      <c r="N108" s="21">
        <f>_xlfn.MINIFS(GameStats!B:B,GameStats!C:C,A108)</f>
        <v>44967</v>
      </c>
      <c r="O108" s="21">
        <f>_xlfn.MAXIFS(GameStats!B:B,GameStats!C:C,A108)</f>
        <v>45002</v>
      </c>
      <c r="P108" t="b">
        <f t="shared" si="11"/>
        <v>1</v>
      </c>
      <c r="Q108"/>
    </row>
    <row r="109" spans="1:17" ht="14.4" x14ac:dyDescent="0.3">
      <c r="A109" s="20" t="str">
        <f>'All Players'!A142</f>
        <v>comboe</v>
      </c>
      <c r="B109" s="20">
        <f>COUNTIFS(GameStats!C:C,A109,GameStats!D:D,"1",GameStats!B:B,"&gt;="&amp;$Q$1)</f>
        <v>0</v>
      </c>
      <c r="C109" s="20">
        <f>COUNTIFS(GameStats!C:C,A109,GameStats!B:B,"&gt;="&amp;$Q$1)</f>
        <v>2</v>
      </c>
      <c r="D109" s="22">
        <f t="shared" si="6"/>
        <v>0</v>
      </c>
      <c r="E109" s="31">
        <f>SUMIFS(GameStats!D:D,GameStats!C:C,A109,GameStats!B:B,"&gt;="&amp;$Q$1)/C109</f>
        <v>16</v>
      </c>
      <c r="F109" s="32">
        <f t="shared" si="7"/>
        <v>0.55908289241622577</v>
      </c>
      <c r="G109" s="20">
        <f>COUNTIFS(GameStats!I:I,A109,GameStats!B:B,"&gt;="&amp;$Q$1)</f>
        <v>1</v>
      </c>
      <c r="H109" s="33">
        <f>SUMIFS(GameStats!F:F,GameStats!C:C,A109,GameStats!B:B,"&gt;="&amp;$Q$1)</f>
        <v>317</v>
      </c>
      <c r="I109" s="33">
        <f>SUMIFS(GameStats!G:G,GameStats!C:C,A109,GameStats!B:B,"&gt;="&amp;$Q$1)</f>
        <v>567</v>
      </c>
      <c r="J109" s="33">
        <f t="shared" si="8"/>
        <v>158.5</v>
      </c>
      <c r="K109" s="33">
        <f t="shared" si="9"/>
        <v>283.5</v>
      </c>
      <c r="L109" s="32">
        <f t="shared" si="10"/>
        <v>0.5</v>
      </c>
      <c r="M109" s="29">
        <f>('Elo model'!$E$14*PlayerStats!D142) + ('Elo model'!$F$14*(1/PlayerStats!E142)) + ('Elo model'!$G$14*(PlayerStats!F142/1.75)) + ('Elo model'!$H$14*(PlayerStats!L142/4))</f>
        <v>0.17267167698202182</v>
      </c>
      <c r="N109" s="21">
        <f>_xlfn.MINIFS(GameStats!B:B,GameStats!C:C,A109)</f>
        <v>45380</v>
      </c>
      <c r="O109" s="21">
        <f>_xlfn.MAXIFS(GameStats!B:B,GameStats!C:C,A109)</f>
        <v>45387</v>
      </c>
      <c r="P109" t="b">
        <f t="shared" si="11"/>
        <v>1</v>
      </c>
    </row>
    <row r="110" spans="1:17" ht="14.4" x14ac:dyDescent="0.3">
      <c r="A110" s="20" t="str">
        <f>'All Players'!A63</f>
        <v>Pikachu</v>
      </c>
      <c r="B110" s="20">
        <f>COUNTIFS(GameStats!C:C,A110,GameStats!D:D,"1",GameStats!B:B,"&gt;="&amp;$Q$1)</f>
        <v>0</v>
      </c>
      <c r="C110" s="20">
        <f>COUNTIFS(GameStats!C:C,A110,GameStats!B:B,"&gt;="&amp;$Q$1)</f>
        <v>2</v>
      </c>
      <c r="D110" s="22">
        <f t="shared" si="6"/>
        <v>0</v>
      </c>
      <c r="E110" s="31">
        <f>SUMIFS(GameStats!D:D,GameStats!C:C,A110,GameStats!B:B,"&gt;="&amp;$Q$1)/C110</f>
        <v>16.5</v>
      </c>
      <c r="F110" s="32">
        <f t="shared" si="7"/>
        <v>0.94230769230769229</v>
      </c>
      <c r="G110" s="20">
        <f>COUNTIFS(GameStats!I:I,A110,GameStats!B:B,"&gt;="&amp;$Q$1)</f>
        <v>0</v>
      </c>
      <c r="H110" s="33">
        <f>SUMIFS(GameStats!F:F,GameStats!C:C,A110,GameStats!B:B,"&gt;="&amp;$Q$1)</f>
        <v>294</v>
      </c>
      <c r="I110" s="33">
        <f>SUMIFS(GameStats!G:G,GameStats!C:C,A110,GameStats!B:B,"&gt;="&amp;$Q$1)</f>
        <v>312</v>
      </c>
      <c r="J110" s="33">
        <f t="shared" si="8"/>
        <v>147</v>
      </c>
      <c r="K110" s="33">
        <f t="shared" si="9"/>
        <v>156</v>
      </c>
      <c r="L110" s="32">
        <f t="shared" si="10"/>
        <v>0</v>
      </c>
      <c r="M110" s="29">
        <f>('Elo model'!$E$14*PlayerStats!D63) + ('Elo model'!$F$14*(1/PlayerStats!E63)) + ('Elo model'!$G$14*(PlayerStats!F63/1.75)) + ('Elo model'!$H$14*(PlayerStats!L63/4))</f>
        <v>0.11613108287474086</v>
      </c>
      <c r="N110" s="21">
        <f>_xlfn.MINIFS(GameStats!B:B,GameStats!C:C,A110)</f>
        <v>45009</v>
      </c>
      <c r="O110" s="21">
        <f>_xlfn.MAXIFS(GameStats!B:B,GameStats!C:C,A110)</f>
        <v>45023</v>
      </c>
      <c r="P110" t="b">
        <f t="shared" si="11"/>
        <v>1</v>
      </c>
    </row>
    <row r="111" spans="1:17" ht="14.4" x14ac:dyDescent="0.3">
      <c r="A111" s="20" t="str">
        <f>'All Players'!A183</f>
        <v>supercereal</v>
      </c>
      <c r="B111" s="20">
        <f>COUNTIFS(GameStats!C:C,A111,GameStats!D:D,"1",GameStats!B:B,"&gt;="&amp;$Q$1)</f>
        <v>0</v>
      </c>
      <c r="C111" s="20">
        <f>COUNTIFS(GameStats!C:C,A111,GameStats!B:B,"&gt;="&amp;$Q$1)</f>
        <v>2</v>
      </c>
      <c r="D111" s="22">
        <f t="shared" si="6"/>
        <v>0</v>
      </c>
      <c r="E111" s="31">
        <f>SUMIFS(GameStats!D:D,GameStats!C:C,A111,GameStats!B:B,"&gt;="&amp;$Q$1)/C111</f>
        <v>18.5</v>
      </c>
      <c r="F111" s="32">
        <f t="shared" si="7"/>
        <v>0.63380281690140849</v>
      </c>
      <c r="G111" s="20">
        <f>COUNTIFS(GameStats!I:I,A111,GameStats!B:B,"&gt;="&amp;$Q$1)</f>
        <v>0</v>
      </c>
      <c r="H111" s="33">
        <f>SUMIFS(GameStats!F:F,GameStats!C:C,A111,GameStats!B:B,"&gt;="&amp;$Q$1)</f>
        <v>360</v>
      </c>
      <c r="I111" s="33">
        <f>SUMIFS(GameStats!G:G,GameStats!C:C,A111,GameStats!B:B,"&gt;="&amp;$Q$1)</f>
        <v>568</v>
      </c>
      <c r="J111" s="33">
        <f t="shared" si="8"/>
        <v>180</v>
      </c>
      <c r="K111" s="33">
        <f t="shared" si="9"/>
        <v>284</v>
      </c>
      <c r="L111" s="32">
        <f t="shared" si="10"/>
        <v>0</v>
      </c>
      <c r="M111" s="29">
        <f>('Elo model'!$E$14*PlayerStats!D183) + ('Elo model'!$F$14*(1/PlayerStats!E183)) + ('Elo model'!$G$14*(PlayerStats!F183/1.75)) + ('Elo model'!$H$14*(PlayerStats!L183/4))</f>
        <v>8.0952380952380942E-2</v>
      </c>
      <c r="N111" s="21">
        <f>_xlfn.MINIFS(GameStats!B:B,GameStats!C:C,A111)</f>
        <v>45415</v>
      </c>
      <c r="O111" s="21">
        <f>_xlfn.MAXIFS(GameStats!B:B,GameStats!C:C,A111)</f>
        <v>45478</v>
      </c>
      <c r="P111" t="b">
        <f t="shared" si="11"/>
        <v>1</v>
      </c>
      <c r="Q111"/>
    </row>
    <row r="112" spans="1:17" ht="14.4" x14ac:dyDescent="0.3">
      <c r="A112" s="20" t="str">
        <f>'All Players'!A212</f>
        <v>Chaotic</v>
      </c>
      <c r="B112" s="20">
        <f>COUNTIFS(GameStats!C:C,A112,GameStats!D:D,"1",GameStats!B:B,"&gt;="&amp;$Q$1)</f>
        <v>0</v>
      </c>
      <c r="C112" s="20">
        <f>COUNTIFS(GameStats!C:C,A112,GameStats!B:B,"&gt;="&amp;$Q$1)</f>
        <v>2</v>
      </c>
      <c r="D112" s="22">
        <f t="shared" si="6"/>
        <v>0</v>
      </c>
      <c r="E112" s="31">
        <f>SUMIFS(GameStats!D:D,GameStats!C:C,A112,GameStats!B:B,"&gt;="&amp;$Q$1)/C112</f>
        <v>19</v>
      </c>
      <c r="F112" s="32">
        <f t="shared" si="7"/>
        <v>0.62337662337662336</v>
      </c>
      <c r="G112" s="20">
        <f>COUNTIFS(GameStats!I:I,A112,GameStats!B:B,"&gt;="&amp;$Q$1)</f>
        <v>0</v>
      </c>
      <c r="H112" s="33">
        <f>SUMIFS(GameStats!F:F,GameStats!C:C,A112,GameStats!B:B,"&gt;="&amp;$Q$1)</f>
        <v>96</v>
      </c>
      <c r="I112" s="33">
        <f>SUMIFS(GameStats!G:G,GameStats!C:C,A112,GameStats!B:B,"&gt;="&amp;$Q$1)</f>
        <v>154</v>
      </c>
      <c r="J112" s="33">
        <f t="shared" si="8"/>
        <v>48</v>
      </c>
      <c r="K112" s="33">
        <f t="shared" si="9"/>
        <v>77</v>
      </c>
      <c r="L112" s="32">
        <f t="shared" si="10"/>
        <v>0</v>
      </c>
      <c r="M112" s="29">
        <f>('Elo model'!$E$14*PlayerStats!D212) + ('Elo model'!$F$14*(1/PlayerStats!E212)) + ('Elo model'!$G$14*(PlayerStats!F212/1.75)) + ('Elo model'!$H$14*(PlayerStats!L212/4))</f>
        <v>6.399877899877901E-2</v>
      </c>
      <c r="N112" s="21">
        <f>_xlfn.MINIFS(GameStats!B:B,GameStats!C:C,A112)</f>
        <v>45443</v>
      </c>
      <c r="O112" s="21">
        <f>_xlfn.MAXIFS(GameStats!B:B,GameStats!C:C,A112)</f>
        <v>45457</v>
      </c>
      <c r="P112" t="b">
        <f t="shared" si="11"/>
        <v>1</v>
      </c>
      <c r="Q112"/>
    </row>
    <row r="113" spans="1:17" ht="14.4" x14ac:dyDescent="0.3">
      <c r="A113" s="20" t="str">
        <f>'All Players'!A151</f>
        <v>yuri</v>
      </c>
      <c r="B113" s="20">
        <f>COUNTIFS(GameStats!C:C,A113,GameStats!D:D,"1",GameStats!B:B,"&gt;="&amp;$Q$1)</f>
        <v>0</v>
      </c>
      <c r="C113" s="20">
        <f>COUNTIFS(GameStats!C:C,A113,GameStats!B:B,"&gt;="&amp;$Q$1)</f>
        <v>2</v>
      </c>
      <c r="D113" s="22">
        <f t="shared" si="6"/>
        <v>0</v>
      </c>
      <c r="E113" s="31">
        <f>SUMIFS(GameStats!D:D,GameStats!C:C,A113,GameStats!B:B,"&gt;="&amp;$Q$1)/C113</f>
        <v>19.5</v>
      </c>
      <c r="F113" s="32">
        <f t="shared" si="7"/>
        <v>0.46017699115044247</v>
      </c>
      <c r="G113" s="20">
        <f>COUNTIFS(GameStats!I:I,A113,GameStats!B:B,"&gt;="&amp;$Q$1)</f>
        <v>0</v>
      </c>
      <c r="H113" s="33">
        <f>SUMIFS(GameStats!F:F,GameStats!C:C,A113,GameStats!B:B,"&gt;="&amp;$Q$1)</f>
        <v>52</v>
      </c>
      <c r="I113" s="33">
        <f>SUMIFS(GameStats!G:G,GameStats!C:C,A113,GameStats!B:B,"&gt;="&amp;$Q$1)</f>
        <v>113</v>
      </c>
      <c r="J113" s="33">
        <f t="shared" si="8"/>
        <v>26</v>
      </c>
      <c r="K113" s="33">
        <f t="shared" si="9"/>
        <v>56.5</v>
      </c>
      <c r="L113" s="32">
        <f t="shared" si="10"/>
        <v>0</v>
      </c>
      <c r="M113" s="29">
        <f>('Elo model'!$E$14*PlayerStats!D151) + ('Elo model'!$F$14*(1/PlayerStats!E151)) + ('Elo model'!$G$14*(PlayerStats!F151/1.75)) + ('Elo model'!$H$14*(PlayerStats!L151/4))</f>
        <v>9.6438074121000944E-2</v>
      </c>
      <c r="N113" s="21">
        <f>_xlfn.MINIFS(GameStats!B:B,GameStats!C:C,A113)</f>
        <v>45387</v>
      </c>
      <c r="O113" s="21">
        <f>_xlfn.MAXIFS(GameStats!B:B,GameStats!C:C,A113)</f>
        <v>45408</v>
      </c>
      <c r="P113" t="b">
        <f t="shared" si="11"/>
        <v>1</v>
      </c>
      <c r="Q113"/>
    </row>
    <row r="114" spans="1:17" ht="14.4" x14ac:dyDescent="0.3">
      <c r="A114" s="20" t="str">
        <f>'All Players'!A253</f>
        <v>WeJustPixel</v>
      </c>
      <c r="B114" s="20">
        <f>COUNTIFS(GameStats!C:C,A114,GameStats!D:D,"1",GameStats!B:B,"&gt;="&amp;$Q$1)</f>
        <v>0</v>
      </c>
      <c r="C114" s="20">
        <f>COUNTIFS(GameStats!C:C,A114,GameStats!B:B,"&gt;="&amp;$Q$1)</f>
        <v>2</v>
      </c>
      <c r="D114" s="22">
        <f t="shared" si="6"/>
        <v>0</v>
      </c>
      <c r="E114" s="31">
        <f>SUMIFS(GameStats!D:D,GameStats!C:C,A114,GameStats!B:B,"&gt;="&amp;$Q$1)/C114</f>
        <v>20.5</v>
      </c>
      <c r="F114" s="32">
        <f t="shared" si="7"/>
        <v>0.42592592592592593</v>
      </c>
      <c r="G114" s="20">
        <f>COUNTIFS(GameStats!I:I,A114,GameStats!B:B,"&gt;="&amp;$Q$1)</f>
        <v>0</v>
      </c>
      <c r="H114" s="33">
        <f>SUMIFS(GameStats!F:F,GameStats!C:C,A114,GameStats!B:B,"&gt;="&amp;$Q$1)</f>
        <v>46</v>
      </c>
      <c r="I114" s="33">
        <f>SUMIFS(GameStats!G:G,GameStats!C:C,A114,GameStats!B:B,"&gt;="&amp;$Q$1)</f>
        <v>108</v>
      </c>
      <c r="J114" s="33">
        <f t="shared" si="8"/>
        <v>23</v>
      </c>
      <c r="K114" s="33">
        <f t="shared" si="9"/>
        <v>54</v>
      </c>
      <c r="L114" s="32">
        <f t="shared" si="10"/>
        <v>0</v>
      </c>
      <c r="M114" s="29">
        <f>('Elo model'!$E$14*PlayerStats!D253) + ('Elo model'!$F$14*(1/PlayerStats!E253)) + ('Elo model'!$G$14*(PlayerStats!F253/1.75)) + ('Elo model'!$H$14*(PlayerStats!L253/4))</f>
        <v>6.3333333333333325E-2</v>
      </c>
      <c r="N114" s="21">
        <f>_xlfn.MINIFS(GameStats!B:B,GameStats!C:C,A114)</f>
        <v>45499</v>
      </c>
      <c r="O114" s="21">
        <f>_xlfn.MAXIFS(GameStats!B:B,GameStats!C:C,A114)</f>
        <v>45541</v>
      </c>
      <c r="P114" t="b">
        <f t="shared" si="11"/>
        <v>1</v>
      </c>
      <c r="Q114"/>
    </row>
    <row r="115" spans="1:17" ht="14.4" x14ac:dyDescent="0.3">
      <c r="A115" s="20" t="str">
        <f>'All Players'!A252</f>
        <v>VaraKana</v>
      </c>
      <c r="B115" s="20">
        <f>COUNTIFS(GameStats!C:C,A115,GameStats!D:D,"1",GameStats!B:B,"&gt;="&amp;$Q$1)</f>
        <v>0</v>
      </c>
      <c r="C115" s="20">
        <f>COUNTIFS(GameStats!C:C,A115,GameStats!B:B,"&gt;="&amp;$Q$1)</f>
        <v>2</v>
      </c>
      <c r="D115" s="22">
        <f t="shared" si="6"/>
        <v>0</v>
      </c>
      <c r="E115" s="31">
        <f>SUMIFS(GameStats!D:D,GameStats!C:C,A115,GameStats!B:B,"&gt;="&amp;$Q$1)/C115</f>
        <v>21.5</v>
      </c>
      <c r="F115" s="32">
        <f t="shared" si="7"/>
        <v>0.4107142857142857</v>
      </c>
      <c r="G115" s="20">
        <f>COUNTIFS(GameStats!I:I,A115,GameStats!B:B,"&gt;="&amp;$Q$1)</f>
        <v>0</v>
      </c>
      <c r="H115" s="33">
        <f>SUMIFS(GameStats!F:F,GameStats!C:C,A115,GameStats!B:B,"&gt;="&amp;$Q$1)</f>
        <v>46</v>
      </c>
      <c r="I115" s="33">
        <f>SUMIFS(GameStats!G:G,GameStats!C:C,A115,GameStats!B:B,"&gt;="&amp;$Q$1)</f>
        <v>112</v>
      </c>
      <c r="J115" s="33">
        <f t="shared" si="8"/>
        <v>23</v>
      </c>
      <c r="K115" s="33">
        <f t="shared" si="9"/>
        <v>56</v>
      </c>
      <c r="L115" s="32">
        <f t="shared" si="10"/>
        <v>0</v>
      </c>
      <c r="M115" s="29">
        <f>('Elo model'!$E$14*PlayerStats!D252) + ('Elo model'!$F$14*(1/PlayerStats!E252)) + ('Elo model'!$G$14*(PlayerStats!F252/1.75)) + ('Elo model'!$H$14*(PlayerStats!L252/4))</f>
        <v>6.4285714285714279E-2</v>
      </c>
      <c r="N115" s="21">
        <f>_xlfn.MINIFS(GameStats!B:B,GameStats!C:C,A115)</f>
        <v>45499</v>
      </c>
      <c r="O115" s="21">
        <f>_xlfn.MAXIFS(GameStats!B:B,GameStats!C:C,A115)</f>
        <v>45513</v>
      </c>
      <c r="P115" t="b">
        <f t="shared" si="11"/>
        <v>1</v>
      </c>
      <c r="Q115"/>
    </row>
    <row r="116" spans="1:17" ht="14.4" x14ac:dyDescent="0.3">
      <c r="A116" s="20" t="str">
        <f>'All Players'!A95</f>
        <v>Inbreeder</v>
      </c>
      <c r="B116" s="20">
        <f>COUNTIFS(GameStats!C:C,A116,GameStats!D:D,"1",GameStats!B:B,"&gt;="&amp;$Q$1)</f>
        <v>0</v>
      </c>
      <c r="C116" s="20">
        <f>COUNTIFS(GameStats!C:C,A116,GameStats!B:B,"&gt;="&amp;$Q$1)</f>
        <v>2</v>
      </c>
      <c r="D116" s="22">
        <f t="shared" si="6"/>
        <v>0</v>
      </c>
      <c r="E116" s="31">
        <f>SUMIFS(GameStats!D:D,GameStats!C:C,A116,GameStats!B:B,"&gt;="&amp;$Q$1)/C116</f>
        <v>22.5</v>
      </c>
      <c r="F116" s="32">
        <f t="shared" si="7"/>
        <v>0.5161290322580645</v>
      </c>
      <c r="G116" s="20">
        <f>COUNTIFS(GameStats!I:I,A116,GameStats!B:B,"&gt;="&amp;$Q$1)</f>
        <v>0</v>
      </c>
      <c r="H116" s="33">
        <f>SUMIFS(GameStats!F:F,GameStats!C:C,A116,GameStats!B:B,"&gt;="&amp;$Q$1)</f>
        <v>16</v>
      </c>
      <c r="I116" s="33">
        <f>SUMIFS(GameStats!G:G,GameStats!C:C,A116,GameStats!B:B,"&gt;="&amp;$Q$1)</f>
        <v>31</v>
      </c>
      <c r="J116" s="33">
        <f t="shared" si="8"/>
        <v>8</v>
      </c>
      <c r="K116" s="33">
        <f t="shared" si="9"/>
        <v>15.5</v>
      </c>
      <c r="L116" s="32">
        <f t="shared" si="10"/>
        <v>0</v>
      </c>
      <c r="M116" s="29">
        <f>('Elo model'!$E$14*PlayerStats!D95) + ('Elo model'!$F$14*(1/PlayerStats!E95)) + ('Elo model'!$G$14*(PlayerStats!F95/1.75)) + ('Elo model'!$H$14*(PlayerStats!L95/4))</f>
        <v>0.1049101993738672</v>
      </c>
      <c r="N116" s="21">
        <f>_xlfn.MINIFS(GameStats!B:B,GameStats!C:C,A116)</f>
        <v>45023</v>
      </c>
      <c r="O116" s="21">
        <f>_xlfn.MAXIFS(GameStats!B:B,GameStats!C:C,A116)</f>
        <v>45030</v>
      </c>
      <c r="P116" t="b">
        <f t="shared" si="11"/>
        <v>1</v>
      </c>
    </row>
    <row r="117" spans="1:17" customFormat="1" ht="14.4" x14ac:dyDescent="0.3">
      <c r="A117" s="20" t="str">
        <f>'All Players'!A223</f>
        <v>Extrahammer</v>
      </c>
      <c r="B117" s="20">
        <f>COUNTIFS(GameStats!C:C,A117,GameStats!D:D,"1",GameStats!B:B,"&gt;="&amp;$Q$1)</f>
        <v>0</v>
      </c>
      <c r="C117" s="20">
        <f>COUNTIFS(GameStats!C:C,A117,GameStats!B:B,"&gt;="&amp;$Q$1)</f>
        <v>2</v>
      </c>
      <c r="D117" s="22">
        <f t="shared" si="6"/>
        <v>0</v>
      </c>
      <c r="E117" s="31">
        <f>SUMIFS(GameStats!D:D,GameStats!C:C,A117,GameStats!B:B,"&gt;="&amp;$Q$1)/C117</f>
        <v>23</v>
      </c>
      <c r="F117" s="32">
        <f t="shared" si="7"/>
        <v>0.55223880597014929</v>
      </c>
      <c r="G117" s="20">
        <f>COUNTIFS(GameStats!I:I,A117,GameStats!B:B,"&gt;="&amp;$Q$1)</f>
        <v>0</v>
      </c>
      <c r="H117" s="33">
        <f>SUMIFS(GameStats!F:F,GameStats!C:C,A117,GameStats!B:B,"&gt;="&amp;$Q$1)</f>
        <v>37</v>
      </c>
      <c r="I117" s="33">
        <f>SUMIFS(GameStats!G:G,GameStats!C:C,A117,GameStats!B:B,"&gt;="&amp;$Q$1)</f>
        <v>67</v>
      </c>
      <c r="J117" s="33">
        <f t="shared" si="8"/>
        <v>18.5</v>
      </c>
      <c r="K117" s="33">
        <f t="shared" si="9"/>
        <v>33.5</v>
      </c>
      <c r="L117" s="32">
        <f t="shared" si="10"/>
        <v>0</v>
      </c>
      <c r="M117" s="29">
        <f>('Elo model'!$E$14*PlayerStats!D223) + ('Elo model'!$F$14*(1/PlayerStats!E223)) + ('Elo model'!$G$14*(PlayerStats!F223/1.75)) + ('Elo model'!$H$14*(PlayerStats!L223/4))</f>
        <v>6.1628491058870805E-2</v>
      </c>
      <c r="N117" s="21">
        <f>_xlfn.MINIFS(GameStats!B:B,GameStats!C:C,A117)</f>
        <v>45457</v>
      </c>
      <c r="O117" s="21">
        <f>_xlfn.MAXIFS(GameStats!B:B,GameStats!C:C,A117)</f>
        <v>45527</v>
      </c>
      <c r="P117" t="b">
        <f t="shared" si="11"/>
        <v>1</v>
      </c>
    </row>
    <row r="118" spans="1:17" customFormat="1" ht="14.4" x14ac:dyDescent="0.3">
      <c r="A118" s="20" t="str">
        <f>'All Players'!A291</f>
        <v>Neo</v>
      </c>
      <c r="B118" s="20">
        <f>COUNTIFS(GameStats!C:C,A118,GameStats!D:D,"1",GameStats!B:B,"&gt;="&amp;$Q$1)</f>
        <v>1</v>
      </c>
      <c r="C118" s="20">
        <f>COUNTIFS(GameStats!C:C,A118,GameStats!B:B,"&gt;="&amp;$Q$1)</f>
        <v>1</v>
      </c>
      <c r="D118" s="22">
        <f t="shared" si="6"/>
        <v>1</v>
      </c>
      <c r="E118" s="31">
        <f>SUMIFS(GameStats!D:D,GameStats!C:C,A118,GameStats!B:B,"&gt;="&amp;$Q$1)/C118</f>
        <v>1</v>
      </c>
      <c r="F118" s="32">
        <f t="shared" si="7"/>
        <v>1.5354671280276817</v>
      </c>
      <c r="G118" s="20">
        <f>COUNTIFS(GameStats!I:I,A118,GameStats!B:B,"&gt;="&amp;$Q$1)</f>
        <v>1</v>
      </c>
      <c r="H118" s="33">
        <f>SUMIFS(GameStats!F:F,GameStats!C:C,A118,GameStats!B:B,"&gt;="&amp;$Q$1)</f>
        <v>8875</v>
      </c>
      <c r="I118" s="33">
        <f>SUMIFS(GameStats!G:G,GameStats!C:C,A118,GameStats!B:B,"&gt;="&amp;$Q$1)</f>
        <v>5780</v>
      </c>
      <c r="J118" s="33">
        <f t="shared" si="8"/>
        <v>8875</v>
      </c>
      <c r="K118" s="33">
        <f t="shared" si="9"/>
        <v>5780</v>
      </c>
      <c r="L118" s="32">
        <f t="shared" si="10"/>
        <v>1</v>
      </c>
      <c r="M118" s="29">
        <f>('Elo model'!$E$14*PlayerStats!D291) + ('Elo model'!$F$14*(1/PlayerStats!E291)) + ('Elo model'!$G$14*(PlayerStats!F291/1.75)) + ('Elo model'!$H$14*(PlayerStats!L291/4))</f>
        <v>3.5359361135758646E-2</v>
      </c>
      <c r="N118" s="21">
        <f>_xlfn.MINIFS(GameStats!B:B,GameStats!C:C,A118)</f>
        <v>45569</v>
      </c>
      <c r="O118" s="21">
        <f>_xlfn.MAXIFS(GameStats!B:B,GameStats!C:C,A118)</f>
        <v>45569</v>
      </c>
      <c r="P118" t="b">
        <f t="shared" si="11"/>
        <v>1</v>
      </c>
    </row>
    <row r="119" spans="1:17" customFormat="1" ht="14.4" x14ac:dyDescent="0.3">
      <c r="A119" s="20" t="str">
        <f>'All Players'!A96</f>
        <v>Dkang</v>
      </c>
      <c r="B119" s="20">
        <f>COUNTIFS(GameStats!C:C,A119,GameStats!D:D,"1",GameStats!B:B,"&gt;="&amp;$Q$1)</f>
        <v>0</v>
      </c>
      <c r="C119" s="20">
        <f>COUNTIFS(GameStats!C:C,A119,GameStats!B:B,"&gt;="&amp;$Q$1)</f>
        <v>1</v>
      </c>
      <c r="D119" s="22">
        <f t="shared" si="6"/>
        <v>0</v>
      </c>
      <c r="E119" s="31">
        <f>SUMIFS(GameStats!D:D,GameStats!C:C,A119,GameStats!B:B,"&gt;="&amp;$Q$1)/C119</f>
        <v>2</v>
      </c>
      <c r="F119" s="32">
        <f t="shared" si="7"/>
        <v>1.1499179655455292</v>
      </c>
      <c r="G119" s="20">
        <f>COUNTIFS(GameStats!I:I,A119,GameStats!B:B,"&gt;="&amp;$Q$1)</f>
        <v>0</v>
      </c>
      <c r="H119" s="33">
        <f>SUMIFS(GameStats!F:F,GameStats!C:C,A119,GameStats!B:B,"&gt;="&amp;$Q$1)</f>
        <v>5607</v>
      </c>
      <c r="I119" s="33">
        <f>SUMIFS(GameStats!G:G,GameStats!C:C,A119,GameStats!B:B,"&gt;="&amp;$Q$1)</f>
        <v>4876</v>
      </c>
      <c r="J119" s="33">
        <f t="shared" si="8"/>
        <v>5607</v>
      </c>
      <c r="K119" s="33">
        <f t="shared" si="9"/>
        <v>4876</v>
      </c>
      <c r="L119" s="32">
        <f t="shared" si="10"/>
        <v>0</v>
      </c>
      <c r="M119" s="29">
        <f>('Elo model'!$E$14*PlayerStats!D96) + ('Elo model'!$F$14*(1/PlayerStats!E96)) + ('Elo model'!$G$14*(PlayerStats!F96/1.75)) + ('Elo model'!$H$14*(PlayerStats!L96/4))</f>
        <v>0.12648706541440105</v>
      </c>
      <c r="N119" s="21">
        <f>_xlfn.MINIFS(GameStats!B:B,GameStats!C:C,A119)</f>
        <v>45030</v>
      </c>
      <c r="O119" s="21">
        <f>_xlfn.MAXIFS(GameStats!B:B,GameStats!C:C,A119)</f>
        <v>45030</v>
      </c>
      <c r="P119" t="b">
        <f t="shared" si="11"/>
        <v>1</v>
      </c>
    </row>
    <row r="120" spans="1:17" customFormat="1" ht="14.4" x14ac:dyDescent="0.3">
      <c r="A120" s="20" t="str">
        <f>'All Players'!A224</f>
        <v>SnoesHusband</v>
      </c>
      <c r="B120" s="20">
        <f>COUNTIFS(GameStats!C:C,A120,GameStats!D:D,"1",GameStats!B:B,"&gt;="&amp;$Q$1)</f>
        <v>0</v>
      </c>
      <c r="C120" s="20">
        <f>COUNTIFS(GameStats!C:C,A120,GameStats!B:B,"&gt;="&amp;$Q$1)</f>
        <v>1</v>
      </c>
      <c r="D120" s="22">
        <f t="shared" si="6"/>
        <v>0</v>
      </c>
      <c r="E120" s="31">
        <f>SUMIFS(GameStats!D:D,GameStats!C:C,A120,GameStats!B:B,"&gt;="&amp;$Q$1)/C120</f>
        <v>2</v>
      </c>
      <c r="F120" s="32">
        <f t="shared" si="7"/>
        <v>1.1739482972431556</v>
      </c>
      <c r="G120" s="20">
        <f>COUNTIFS(GameStats!I:I,A120,GameStats!B:B,"&gt;="&amp;$Q$1)</f>
        <v>4</v>
      </c>
      <c r="H120" s="33">
        <f>SUMIFS(GameStats!F:F,GameStats!C:C,A120,GameStats!B:B,"&gt;="&amp;$Q$1)</f>
        <v>24613</v>
      </c>
      <c r="I120" s="33">
        <f>SUMIFS(GameStats!G:G,GameStats!C:C,A120,GameStats!B:B,"&gt;="&amp;$Q$1)</f>
        <v>20966</v>
      </c>
      <c r="J120" s="33">
        <f t="shared" si="8"/>
        <v>24613</v>
      </c>
      <c r="K120" s="33">
        <f t="shared" si="9"/>
        <v>20966</v>
      </c>
      <c r="L120" s="32">
        <f t="shared" si="10"/>
        <v>4</v>
      </c>
      <c r="M120" s="29">
        <f>('Elo model'!$E$14*PlayerStats!D224) + ('Elo model'!$F$14*(1/PlayerStats!E224)) + ('Elo model'!$G$14*(PlayerStats!F224/1.75)) + ('Elo model'!$H$14*(PlayerStats!L224/4))</f>
        <v>6.1654135338345857E-2</v>
      </c>
      <c r="N120" s="21">
        <f>_xlfn.MINIFS(GameStats!B:B,GameStats!C:C,A120)</f>
        <v>45464</v>
      </c>
      <c r="O120" s="21">
        <f>_xlfn.MAXIFS(GameStats!B:B,GameStats!C:C,A120)</f>
        <v>45464</v>
      </c>
      <c r="P120" t="b">
        <f t="shared" si="11"/>
        <v>1</v>
      </c>
    </row>
    <row r="121" spans="1:17" customFormat="1" ht="14.4" x14ac:dyDescent="0.3">
      <c r="A121" s="20" t="str">
        <f>'All Players'!A4</f>
        <v>SodaFromHell</v>
      </c>
      <c r="B121" s="20">
        <f>COUNTIFS(GameStats!C:C,A121,GameStats!D:D,"1",GameStats!B:B,"&gt;="&amp;$Q$1)</f>
        <v>0</v>
      </c>
      <c r="C121" s="20">
        <f>COUNTIFS(GameStats!C:C,A121,GameStats!B:B,"&gt;="&amp;$Q$1)</f>
        <v>1</v>
      </c>
      <c r="D121" s="22">
        <f t="shared" si="6"/>
        <v>0</v>
      </c>
      <c r="E121" s="31">
        <f>SUMIFS(GameStats!D:D,GameStats!C:C,A121,GameStats!B:B,"&gt;="&amp;$Q$1)/C121</f>
        <v>3</v>
      </c>
      <c r="F121" s="32">
        <f t="shared" si="7"/>
        <v>0.88529522376833392</v>
      </c>
      <c r="G121" s="20">
        <f>COUNTIFS(GameStats!I:I,A121,GameStats!B:B,"&gt;="&amp;$Q$1)</f>
        <v>0</v>
      </c>
      <c r="H121" s="33">
        <f>SUMIFS(GameStats!F:F,GameStats!C:C,A121,GameStats!B:B,"&gt;="&amp;$Q$1)</f>
        <v>9416</v>
      </c>
      <c r="I121" s="33">
        <f>SUMIFS(GameStats!G:G,GameStats!C:C,A121,GameStats!B:B,"&gt;="&amp;$Q$1)</f>
        <v>10636</v>
      </c>
      <c r="J121" s="33">
        <f t="shared" si="8"/>
        <v>9416</v>
      </c>
      <c r="K121" s="33">
        <f t="shared" si="9"/>
        <v>10636</v>
      </c>
      <c r="L121" s="32">
        <f t="shared" si="10"/>
        <v>0</v>
      </c>
      <c r="M121" s="29">
        <f>('Elo model'!$E$14*PlayerStats!D4) + ('Elo model'!$F$14*(1/PlayerStats!E4)) + ('Elo model'!$G$14*PlayerStats!F4) + ('Elo model'!$H$14*(PlayerStats!L4/4))</f>
        <v>0.23137493869912962</v>
      </c>
      <c r="N121" s="21">
        <f>_xlfn.MINIFS(GameStats!B:B,GameStats!C:C,A121)</f>
        <v>44967</v>
      </c>
      <c r="O121" s="21">
        <f>_xlfn.MAXIFS(GameStats!B:B,GameStats!C:C,A121)</f>
        <v>44967</v>
      </c>
      <c r="P121" t="b">
        <f t="shared" si="11"/>
        <v>1</v>
      </c>
    </row>
    <row r="122" spans="1:17" customFormat="1" ht="14.4" x14ac:dyDescent="0.3">
      <c r="A122" s="20" t="str">
        <f>'All Players'!A36</f>
        <v>Ev1LTigER</v>
      </c>
      <c r="B122" s="20">
        <f>COUNTIFS(GameStats!C:C,A122,GameStats!D:D,"1",GameStats!B:B,"&gt;="&amp;$Q$1)</f>
        <v>0</v>
      </c>
      <c r="C122" s="20">
        <f>COUNTIFS(GameStats!C:C,A122,GameStats!B:B,"&gt;="&amp;$Q$1)</f>
        <v>1</v>
      </c>
      <c r="D122" s="22">
        <f t="shared" si="6"/>
        <v>0</v>
      </c>
      <c r="E122" s="31">
        <f>SUMIFS(GameStats!D:D,GameStats!C:C,A122,GameStats!B:B,"&gt;="&amp;$Q$1)/C122</f>
        <v>4</v>
      </c>
      <c r="F122" s="32">
        <f t="shared" si="7"/>
        <v>1.2214592274678111</v>
      </c>
      <c r="G122" s="20">
        <f>COUNTIFS(GameStats!I:I,A122,GameStats!B:B,"&gt;="&amp;$Q$1)</f>
        <v>0</v>
      </c>
      <c r="H122" s="33">
        <f>SUMIFS(GameStats!F:F,GameStats!C:C,A122,GameStats!B:B,"&gt;="&amp;$Q$1)</f>
        <v>2846</v>
      </c>
      <c r="I122" s="33">
        <f>SUMIFS(GameStats!G:G,GameStats!C:C,A122,GameStats!B:B,"&gt;="&amp;$Q$1)</f>
        <v>2330</v>
      </c>
      <c r="J122" s="33">
        <f t="shared" si="8"/>
        <v>2846</v>
      </c>
      <c r="K122" s="33">
        <f t="shared" si="9"/>
        <v>2330</v>
      </c>
      <c r="L122" s="32">
        <f t="shared" si="10"/>
        <v>0</v>
      </c>
      <c r="M122" s="29">
        <f>('Elo model'!$E$14*PlayerStats!D36) + ('Elo model'!$F$14*(1/PlayerStats!E36)) + ('Elo model'!$G$14*PlayerStats!F36) + ('Elo model'!$H$14*(PlayerStats!L36/4))</f>
        <v>0.22056230497191592</v>
      </c>
      <c r="N122" s="21">
        <f>_xlfn.MINIFS(GameStats!B:B,GameStats!C:C,A122)</f>
        <v>44988</v>
      </c>
      <c r="O122" s="21">
        <f>_xlfn.MAXIFS(GameStats!B:B,GameStats!C:C,A122)</f>
        <v>44988</v>
      </c>
      <c r="P122" t="b">
        <f t="shared" si="11"/>
        <v>1</v>
      </c>
    </row>
    <row r="123" spans="1:17" customFormat="1" ht="14.4" x14ac:dyDescent="0.3">
      <c r="A123" s="20" t="str">
        <f>'All Players'!A225</f>
        <v>Kiva</v>
      </c>
      <c r="B123" s="20">
        <f>COUNTIFS(GameStats!C:C,A123,GameStats!D:D,"1",GameStats!B:B,"&gt;="&amp;$Q$1)</f>
        <v>0</v>
      </c>
      <c r="C123" s="20">
        <f>COUNTIFS(GameStats!C:C,A123,GameStats!B:B,"&gt;="&amp;$Q$1)</f>
        <v>1</v>
      </c>
      <c r="D123" s="22">
        <f t="shared" si="6"/>
        <v>0</v>
      </c>
      <c r="E123" s="31">
        <f>SUMIFS(GameStats!D:D,GameStats!C:C,A123,GameStats!B:B,"&gt;="&amp;$Q$1)/C123</f>
        <v>4</v>
      </c>
      <c r="F123" s="32">
        <f t="shared" si="7"/>
        <v>0.92834716304104059</v>
      </c>
      <c r="G123" s="20">
        <f>COUNTIFS(GameStats!I:I,A123,GameStats!B:B,"&gt;="&amp;$Q$1)</f>
        <v>2</v>
      </c>
      <c r="H123" s="33">
        <f>SUMIFS(GameStats!F:F,GameStats!C:C,A123,GameStats!B:B,"&gt;="&amp;$Q$1)</f>
        <v>8279</v>
      </c>
      <c r="I123" s="33">
        <f>SUMIFS(GameStats!G:G,GameStats!C:C,A123,GameStats!B:B,"&gt;="&amp;$Q$1)</f>
        <v>8918</v>
      </c>
      <c r="J123" s="33">
        <f t="shared" si="8"/>
        <v>8279</v>
      </c>
      <c r="K123" s="33">
        <f t="shared" si="9"/>
        <v>8918</v>
      </c>
      <c r="L123" s="32">
        <f t="shared" si="10"/>
        <v>2</v>
      </c>
      <c r="M123" s="29">
        <f>('Elo model'!$E$14*PlayerStats!D225) + ('Elo model'!$F$14*(1/PlayerStats!E225)) + ('Elo model'!$G$14*(PlayerStats!F225/1.75)) + ('Elo model'!$H$14*(PlayerStats!L225/4))</f>
        <v>4.9348370927318294E-2</v>
      </c>
      <c r="N123" s="21">
        <f>_xlfn.MINIFS(GameStats!B:B,GameStats!C:C,A123)</f>
        <v>45464</v>
      </c>
      <c r="O123" s="21">
        <f>_xlfn.MAXIFS(GameStats!B:B,GameStats!C:C,A123)</f>
        <v>45464</v>
      </c>
      <c r="P123" t="b">
        <f t="shared" si="11"/>
        <v>1</v>
      </c>
    </row>
    <row r="124" spans="1:17" customFormat="1" ht="14.4" x14ac:dyDescent="0.3">
      <c r="A124" s="20" t="str">
        <f>'All Players'!A213</f>
        <v>AyyeBreh</v>
      </c>
      <c r="B124" s="20">
        <f>COUNTIFS(GameStats!C:C,A124,GameStats!D:D,"1",GameStats!B:B,"&gt;="&amp;$Q$1)</f>
        <v>0</v>
      </c>
      <c r="C124" s="20">
        <f>COUNTIFS(GameStats!C:C,A124,GameStats!B:B,"&gt;="&amp;$Q$1)</f>
        <v>1</v>
      </c>
      <c r="D124" s="22">
        <f t="shared" si="6"/>
        <v>0</v>
      </c>
      <c r="E124" s="31">
        <f>SUMIFS(GameStats!D:D,GameStats!C:C,A124,GameStats!B:B,"&gt;="&amp;$Q$1)/C124</f>
        <v>5</v>
      </c>
      <c r="F124" s="32">
        <f t="shared" si="7"/>
        <v>1.3124199743918055</v>
      </c>
      <c r="G124" s="20">
        <f>COUNTIFS(GameStats!I:I,A124,GameStats!B:B,"&gt;="&amp;$Q$1)</f>
        <v>1</v>
      </c>
      <c r="H124" s="33">
        <f>SUMIFS(GameStats!F:F,GameStats!C:C,A124,GameStats!B:B,"&gt;="&amp;$Q$1)</f>
        <v>4100</v>
      </c>
      <c r="I124" s="33">
        <f>SUMIFS(GameStats!G:G,GameStats!C:C,A124,GameStats!B:B,"&gt;="&amp;$Q$1)</f>
        <v>3124</v>
      </c>
      <c r="J124" s="33">
        <f t="shared" si="8"/>
        <v>4100</v>
      </c>
      <c r="K124" s="33">
        <f t="shared" si="9"/>
        <v>3124</v>
      </c>
      <c r="L124" s="32">
        <f t="shared" si="10"/>
        <v>1</v>
      </c>
      <c r="M124" s="29">
        <f>('Elo model'!$E$14*PlayerStats!D213) + ('Elo model'!$F$14*(1/PlayerStats!E213)) + ('Elo model'!$G$14*(PlayerStats!F213/1.75)) + ('Elo model'!$H$14*(PlayerStats!L213/4))</f>
        <v>6.2868480725623579E-2</v>
      </c>
      <c r="N124" s="21">
        <f>_xlfn.MINIFS(GameStats!B:B,GameStats!C:C,A124)</f>
        <v>45450</v>
      </c>
      <c r="O124" s="21">
        <f>_xlfn.MAXIFS(GameStats!B:B,GameStats!C:C,A124)</f>
        <v>45450</v>
      </c>
      <c r="P124" t="b">
        <f t="shared" si="11"/>
        <v>1</v>
      </c>
    </row>
    <row r="125" spans="1:17" customFormat="1" ht="14.4" x14ac:dyDescent="0.3">
      <c r="A125" s="20" t="str">
        <f>'All Players'!A176</f>
        <v>Jakob</v>
      </c>
      <c r="B125" s="20">
        <f>COUNTIFS(GameStats!C:C,A125,GameStats!D:D,"1",GameStats!B:B,"&gt;="&amp;$Q$1)</f>
        <v>0</v>
      </c>
      <c r="C125" s="20">
        <f>COUNTIFS(GameStats!C:C,A125,GameStats!B:B,"&gt;="&amp;$Q$1)</f>
        <v>1</v>
      </c>
      <c r="D125" s="22">
        <f t="shared" si="6"/>
        <v>0</v>
      </c>
      <c r="E125" s="31">
        <f>SUMIFS(GameStats!D:D,GameStats!C:C,A125,GameStats!B:B,"&gt;="&amp;$Q$1)/C125</f>
        <v>6</v>
      </c>
      <c r="F125" s="32">
        <f t="shared" si="7"/>
        <v>1.5004233700254022</v>
      </c>
      <c r="G125" s="20">
        <f>COUNTIFS(GameStats!I:I,A125,GameStats!B:B,"&gt;="&amp;$Q$1)</f>
        <v>1</v>
      </c>
      <c r="H125" s="33">
        <f>SUMIFS(GameStats!F:F,GameStats!C:C,A125,GameStats!B:B,"&gt;="&amp;$Q$1)</f>
        <v>1772</v>
      </c>
      <c r="I125" s="33">
        <f>SUMIFS(GameStats!G:G,GameStats!C:C,A125,GameStats!B:B,"&gt;="&amp;$Q$1)</f>
        <v>1181</v>
      </c>
      <c r="J125" s="33">
        <f t="shared" si="8"/>
        <v>1772</v>
      </c>
      <c r="K125" s="33">
        <f t="shared" si="9"/>
        <v>1181</v>
      </c>
      <c r="L125" s="32">
        <f t="shared" si="10"/>
        <v>1</v>
      </c>
      <c r="M125" s="29">
        <f>('Elo model'!$E$14*PlayerStats!D176) + ('Elo model'!$F$14*(1/PlayerStats!E176)) + ('Elo model'!$G$14*(PlayerStats!F176/1.75)) + ('Elo model'!$H$14*(PlayerStats!L176/4))</f>
        <v>7.6341169379144064E-2</v>
      </c>
      <c r="N125" s="21">
        <f>_xlfn.MINIFS(GameStats!B:B,GameStats!C:C,A125)</f>
        <v>45415</v>
      </c>
      <c r="O125" s="21">
        <f>_xlfn.MAXIFS(GameStats!B:B,GameStats!C:C,A125)</f>
        <v>45415</v>
      </c>
      <c r="P125" t="b">
        <f t="shared" si="11"/>
        <v>1</v>
      </c>
    </row>
    <row r="126" spans="1:17" customFormat="1" ht="14.4" x14ac:dyDescent="0.3">
      <c r="A126" s="20" t="str">
        <f>'All Players'!A124</f>
        <v>mono</v>
      </c>
      <c r="B126" s="20">
        <f>COUNTIFS(GameStats!C:C,A126,GameStats!D:D,"1",GameStats!B:B,"&gt;="&amp;$Q$1)</f>
        <v>0</v>
      </c>
      <c r="C126" s="20">
        <f>COUNTIFS(GameStats!C:C,A126,GameStats!B:B,"&gt;="&amp;$Q$1)</f>
        <v>1</v>
      </c>
      <c r="D126" s="22">
        <f t="shared" si="6"/>
        <v>0</v>
      </c>
      <c r="E126" s="31">
        <f>SUMIFS(GameStats!D:D,GameStats!C:C,A126,GameStats!B:B,"&gt;="&amp;$Q$1)/C126</f>
        <v>6</v>
      </c>
      <c r="F126" s="32">
        <f t="shared" si="7"/>
        <v>0.53281853281853286</v>
      </c>
      <c r="G126" s="20">
        <f>COUNTIFS(GameStats!I:I,A126,GameStats!B:B,"&gt;="&amp;$Q$1)</f>
        <v>0</v>
      </c>
      <c r="H126" s="33">
        <f>SUMIFS(GameStats!F:F,GameStats!C:C,A126,GameStats!B:B,"&gt;="&amp;$Q$1)</f>
        <v>552</v>
      </c>
      <c r="I126" s="33">
        <f>SUMIFS(GameStats!G:G,GameStats!C:C,A126,GameStats!B:B,"&gt;="&amp;$Q$1)</f>
        <v>1036</v>
      </c>
      <c r="J126" s="33">
        <f t="shared" si="8"/>
        <v>552</v>
      </c>
      <c r="K126" s="33">
        <f t="shared" si="9"/>
        <v>1036</v>
      </c>
      <c r="L126" s="32">
        <f t="shared" si="10"/>
        <v>0</v>
      </c>
      <c r="M126" s="29">
        <f>('Elo model'!$E$14*PlayerStats!D124) + ('Elo model'!$F$14*(1/PlayerStats!E124)) + ('Elo model'!$G$14*(PlayerStats!F124/1.75)) + ('Elo model'!$H$14*(PlayerStats!L124/4))</f>
        <v>0.18749314066215475</v>
      </c>
      <c r="N126" s="21">
        <f>_xlfn.MINIFS(GameStats!B:B,GameStats!C:C,A126)</f>
        <v>45366</v>
      </c>
      <c r="O126" s="21">
        <f>_xlfn.MAXIFS(GameStats!B:B,GameStats!C:C,A126)</f>
        <v>45366</v>
      </c>
      <c r="P126" t="b">
        <f t="shared" si="11"/>
        <v>1</v>
      </c>
    </row>
    <row r="127" spans="1:17" customFormat="1" ht="14.4" x14ac:dyDescent="0.3">
      <c r="A127" s="20" t="str">
        <f>'All Players'!A125</f>
        <v>einz</v>
      </c>
      <c r="B127" s="20">
        <f>COUNTIFS(GameStats!C:C,A127,GameStats!D:D,"1",GameStats!B:B,"&gt;="&amp;$Q$1)</f>
        <v>0</v>
      </c>
      <c r="C127" s="20">
        <f>COUNTIFS(GameStats!C:C,A127,GameStats!B:B,"&gt;="&amp;$Q$1)</f>
        <v>1</v>
      </c>
      <c r="D127" s="22">
        <f t="shared" si="6"/>
        <v>0</v>
      </c>
      <c r="E127" s="31">
        <f>SUMIFS(GameStats!D:D,GameStats!C:C,A127,GameStats!B:B,"&gt;="&amp;$Q$1)/C127</f>
        <v>7</v>
      </c>
      <c r="F127" s="32">
        <f t="shared" si="7"/>
        <v>0.49093511450381677</v>
      </c>
      <c r="G127" s="20">
        <f>COUNTIFS(GameStats!I:I,A127,GameStats!B:B,"&gt;="&amp;$Q$1)</f>
        <v>0</v>
      </c>
      <c r="H127" s="33">
        <f>SUMIFS(GameStats!F:F,GameStats!C:C,A127,GameStats!B:B,"&gt;="&amp;$Q$1)</f>
        <v>1029</v>
      </c>
      <c r="I127" s="33">
        <f>SUMIFS(GameStats!G:G,GameStats!C:C,A127,GameStats!B:B,"&gt;="&amp;$Q$1)</f>
        <v>2096</v>
      </c>
      <c r="J127" s="33">
        <f t="shared" si="8"/>
        <v>1029</v>
      </c>
      <c r="K127" s="33">
        <f t="shared" si="9"/>
        <v>2096</v>
      </c>
      <c r="L127" s="32">
        <f t="shared" si="10"/>
        <v>0</v>
      </c>
      <c r="M127" s="29">
        <f>('Elo model'!$E$14*PlayerStats!D125) + ('Elo model'!$F$14*(1/PlayerStats!E125)) + ('Elo model'!$G$14*(PlayerStats!F125/1.75)) + ('Elo model'!$H$14*(PlayerStats!L125/4))</f>
        <v>0.1952743840974154</v>
      </c>
      <c r="N127" s="21">
        <f>_xlfn.MINIFS(GameStats!B:B,GameStats!C:C,A127)</f>
        <v>45366</v>
      </c>
      <c r="O127" s="21">
        <f>_xlfn.MAXIFS(GameStats!B:B,GameStats!C:C,A127)</f>
        <v>45366</v>
      </c>
      <c r="P127" t="b">
        <f t="shared" si="11"/>
        <v>1</v>
      </c>
    </row>
    <row r="128" spans="1:17" customFormat="1" ht="14.4" x14ac:dyDescent="0.3">
      <c r="A128" s="20" t="str">
        <f>'All Players'!A163</f>
        <v>philwithaces</v>
      </c>
      <c r="B128" s="20">
        <f>COUNTIFS(GameStats!C:C,A128,GameStats!D:D,"1",GameStats!B:B,"&gt;="&amp;$Q$1)</f>
        <v>0</v>
      </c>
      <c r="C128" s="20">
        <f>COUNTIFS(GameStats!C:C,A128,GameStats!B:B,"&gt;="&amp;$Q$1)</f>
        <v>1</v>
      </c>
      <c r="D128" s="22">
        <f t="shared" si="6"/>
        <v>0</v>
      </c>
      <c r="E128" s="31">
        <f>SUMIFS(GameStats!D:D,GameStats!C:C,A128,GameStats!B:B,"&gt;="&amp;$Q$1)/C128</f>
        <v>7</v>
      </c>
      <c r="F128" s="32">
        <f t="shared" si="7"/>
        <v>1.0675133689839573</v>
      </c>
      <c r="G128" s="20">
        <f>COUNTIFS(GameStats!I:I,A128,GameStats!B:B,"&gt;="&amp;$Q$1)</f>
        <v>1</v>
      </c>
      <c r="H128" s="33">
        <f>SUMIFS(GameStats!F:F,GameStats!C:C,A128,GameStats!B:B,"&gt;="&amp;$Q$1)</f>
        <v>1597</v>
      </c>
      <c r="I128" s="33">
        <f>SUMIFS(GameStats!G:G,GameStats!C:C,A128,GameStats!B:B,"&gt;="&amp;$Q$1)</f>
        <v>1496</v>
      </c>
      <c r="J128" s="33">
        <f t="shared" si="8"/>
        <v>1597</v>
      </c>
      <c r="K128" s="33">
        <f t="shared" si="9"/>
        <v>1496</v>
      </c>
      <c r="L128" s="32">
        <f t="shared" si="10"/>
        <v>1</v>
      </c>
      <c r="M128" s="29">
        <f>('Elo model'!$E$14*PlayerStats!D163) + ('Elo model'!$F$14*(1/PlayerStats!E163)) + ('Elo model'!$G$14*(PlayerStats!F163/1.75)) + ('Elo model'!$H$14*(PlayerStats!L163/4))</f>
        <v>8.6412236412236415E-2</v>
      </c>
      <c r="N128" s="21">
        <f>_xlfn.MINIFS(GameStats!B:B,GameStats!C:C,A128)</f>
        <v>45401</v>
      </c>
      <c r="O128" s="21">
        <f>_xlfn.MAXIFS(GameStats!B:B,GameStats!C:C,A128)</f>
        <v>45401</v>
      </c>
      <c r="P128" t="b">
        <f t="shared" si="11"/>
        <v>1</v>
      </c>
    </row>
    <row r="129" spans="1:17" customFormat="1" ht="14.4" x14ac:dyDescent="0.3">
      <c r="A129" s="20" t="str">
        <f>'All Players'!A24</f>
        <v>UniK</v>
      </c>
      <c r="B129" s="20">
        <f>COUNTIFS(GameStats!C:C,A129,GameStats!D:D,"1",GameStats!B:B,"&gt;="&amp;$Q$1)</f>
        <v>0</v>
      </c>
      <c r="C129" s="20">
        <f>COUNTIFS(GameStats!C:C,A129,GameStats!B:B,"&gt;="&amp;$Q$1)</f>
        <v>1</v>
      </c>
      <c r="D129" s="22">
        <f t="shared" si="6"/>
        <v>0</v>
      </c>
      <c r="E129" s="31">
        <f>SUMIFS(GameStats!D:D,GameStats!C:C,A129,GameStats!B:B,"&gt;="&amp;$Q$1)/C129</f>
        <v>7</v>
      </c>
      <c r="F129" s="32">
        <f t="shared" si="7"/>
        <v>1.1669106881405564</v>
      </c>
      <c r="G129" s="20">
        <f>COUNTIFS(GameStats!I:I,A129,GameStats!B:B,"&gt;="&amp;$Q$1)</f>
        <v>0</v>
      </c>
      <c r="H129" s="33">
        <f>SUMIFS(GameStats!F:F,GameStats!C:C,A129,GameStats!B:B,"&gt;="&amp;$Q$1)</f>
        <v>4782</v>
      </c>
      <c r="I129" s="33">
        <f>SUMIFS(GameStats!G:G,GameStats!C:C,A129,GameStats!B:B,"&gt;="&amp;$Q$1)</f>
        <v>4098</v>
      </c>
      <c r="J129" s="33">
        <f t="shared" si="8"/>
        <v>4782</v>
      </c>
      <c r="K129" s="33">
        <f t="shared" si="9"/>
        <v>4098</v>
      </c>
      <c r="L129" s="32">
        <f t="shared" si="10"/>
        <v>0</v>
      </c>
      <c r="M129" s="29">
        <f>('Elo model'!$E$14*PlayerStats!D24) + ('Elo model'!$F$14*(1/PlayerStats!E24)) + ('Elo model'!$G$14*PlayerStats!F24) + ('Elo model'!$H$14*(PlayerStats!L24/4))</f>
        <v>0.35150091545797607</v>
      </c>
      <c r="N129" s="21">
        <f>_xlfn.MINIFS(GameStats!B:B,GameStats!C:C,A129)</f>
        <v>44974</v>
      </c>
      <c r="O129" s="21">
        <f>_xlfn.MAXIFS(GameStats!B:B,GameStats!C:C,A129)</f>
        <v>44974</v>
      </c>
      <c r="P129" t="b">
        <f t="shared" si="11"/>
        <v>1</v>
      </c>
    </row>
    <row r="130" spans="1:17" customFormat="1" ht="14.4" x14ac:dyDescent="0.3">
      <c r="A130" s="20" t="str">
        <f>'All Players'!A255</f>
        <v>catrabbit</v>
      </c>
      <c r="B130" s="20">
        <f>COUNTIFS(GameStats!C:C,A130,GameStats!D:D,"1",GameStats!B:B,"&gt;="&amp;$Q$1)</f>
        <v>0</v>
      </c>
      <c r="C130" s="20">
        <f>COUNTIFS(GameStats!C:C,A130,GameStats!B:B,"&gt;="&amp;$Q$1)</f>
        <v>1</v>
      </c>
      <c r="D130" s="22">
        <f t="shared" ref="D130:D193" si="12">B130/C130</f>
        <v>0</v>
      </c>
      <c r="E130" s="31">
        <f>SUMIFS(GameStats!D:D,GameStats!C:C,A130,GameStats!B:B,"&gt;="&amp;$Q$1)/C130</f>
        <v>7</v>
      </c>
      <c r="F130" s="32">
        <f t="shared" ref="F130:F193" si="13">H130/I130</f>
        <v>1.1320553780617679</v>
      </c>
      <c r="G130" s="20">
        <f>COUNTIFS(GameStats!I:I,A130,GameStats!B:B,"&gt;="&amp;$Q$1)</f>
        <v>1</v>
      </c>
      <c r="H130" s="33">
        <f>SUMIFS(GameStats!F:F,GameStats!C:C,A130,GameStats!B:B,"&gt;="&amp;$Q$1)</f>
        <v>2126</v>
      </c>
      <c r="I130" s="33">
        <f>SUMIFS(GameStats!G:G,GameStats!C:C,A130,GameStats!B:B,"&gt;="&amp;$Q$1)</f>
        <v>1878</v>
      </c>
      <c r="J130" s="33">
        <f t="shared" ref="J130:J193" si="14">H130/C130</f>
        <v>2126</v>
      </c>
      <c r="K130" s="33">
        <f t="shared" ref="K130:K193" si="15">I130/C130</f>
        <v>1878</v>
      </c>
      <c r="L130" s="32">
        <f t="shared" ref="L130:L193" si="16">G130/C130</f>
        <v>1</v>
      </c>
      <c r="M130" s="29">
        <f>('Elo model'!$E$14*PlayerStats!D255) + ('Elo model'!$F$14*(1/PlayerStats!E255)) + ('Elo model'!$G$14*(PlayerStats!F255/1.75)) + ('Elo model'!$H$14*(PlayerStats!L255/4))</f>
        <v>6.9047619047619038E-2</v>
      </c>
      <c r="N130" s="21">
        <f>_xlfn.MINIFS(GameStats!B:B,GameStats!C:C,A130)</f>
        <v>45506</v>
      </c>
      <c r="O130" s="21">
        <f>_xlfn.MAXIFS(GameStats!B:B,GameStats!C:C,A130)</f>
        <v>45506</v>
      </c>
      <c r="P130" t="b">
        <f t="shared" ref="P130:P193" si="17">IF(O130&gt;$Q$1,TRUE)</f>
        <v>1</v>
      </c>
    </row>
    <row r="131" spans="1:17" customFormat="1" ht="14.4" x14ac:dyDescent="0.3">
      <c r="A131" s="20" t="str">
        <f>'All Players'!A283</f>
        <v>Xplay2511</v>
      </c>
      <c r="B131" s="20">
        <f>COUNTIFS(GameStats!C:C,A131,GameStats!D:D,"1",GameStats!B:B,"&gt;="&amp;$Q$1)</f>
        <v>0</v>
      </c>
      <c r="C131" s="20">
        <f>COUNTIFS(GameStats!C:C,A131,GameStats!B:B,"&gt;="&amp;$Q$1)</f>
        <v>1</v>
      </c>
      <c r="D131" s="22">
        <f t="shared" si="12"/>
        <v>0</v>
      </c>
      <c r="E131" s="31">
        <f>SUMIFS(GameStats!D:D,GameStats!C:C,A131,GameStats!B:B,"&gt;="&amp;$Q$1)/C131</f>
        <v>7</v>
      </c>
      <c r="F131" s="32">
        <f t="shared" si="13"/>
        <v>0.81120067882901992</v>
      </c>
      <c r="G131" s="20">
        <f>COUNTIFS(GameStats!I:I,A131,GameStats!B:B,"&gt;="&amp;$Q$1)</f>
        <v>0</v>
      </c>
      <c r="H131" s="33">
        <f>SUMIFS(GameStats!F:F,GameStats!C:C,A131,GameStats!B:B,"&gt;="&amp;$Q$1)</f>
        <v>1912</v>
      </c>
      <c r="I131" s="33">
        <f>SUMIFS(GameStats!G:G,GameStats!C:C,A131,GameStats!B:B,"&gt;="&amp;$Q$1)</f>
        <v>2357</v>
      </c>
      <c r="J131" s="33">
        <f t="shared" si="14"/>
        <v>1912</v>
      </c>
      <c r="K131" s="33">
        <f t="shared" si="15"/>
        <v>2357</v>
      </c>
      <c r="L131" s="32">
        <f t="shared" si="16"/>
        <v>0</v>
      </c>
      <c r="M131" s="29">
        <f>('Elo model'!$E$14*PlayerStats!D283) + ('Elo model'!$F$14*(1/PlayerStats!E283)) + ('Elo model'!$G$14*(PlayerStats!F283/1.75)) + ('Elo model'!$H$14*(PlayerStats!L283/4))</f>
        <v>3.9440993788819871E-2</v>
      </c>
      <c r="N131" s="21">
        <f>_xlfn.MINIFS(GameStats!B:B,GameStats!C:C,A131)</f>
        <v>45555</v>
      </c>
      <c r="O131" s="21">
        <f>_xlfn.MAXIFS(GameStats!B:B,GameStats!C:C,A131)</f>
        <v>45555</v>
      </c>
      <c r="P131" t="b">
        <f t="shared" si="17"/>
        <v>1</v>
      </c>
    </row>
    <row r="132" spans="1:17" customFormat="1" ht="14.4" x14ac:dyDescent="0.3">
      <c r="A132" s="20" t="str">
        <f>'All Players'!A106</f>
        <v>CrazySicko</v>
      </c>
      <c r="B132" s="20">
        <f>COUNTIFS(GameStats!C:C,A132,GameStats!D:D,"1",GameStats!B:B,"&gt;="&amp;$Q$1)</f>
        <v>0</v>
      </c>
      <c r="C132" s="20">
        <f>COUNTIFS(GameStats!C:C,A132,GameStats!B:B,"&gt;="&amp;$Q$1)</f>
        <v>1</v>
      </c>
      <c r="D132" s="22">
        <f t="shared" si="12"/>
        <v>0</v>
      </c>
      <c r="E132" s="31">
        <f>SUMIFS(GameStats!D:D,GameStats!C:C,A132,GameStats!B:B,"&gt;="&amp;$Q$1)/C132</f>
        <v>8</v>
      </c>
      <c r="F132" s="32">
        <f t="shared" si="13"/>
        <v>0.80305039787798405</v>
      </c>
      <c r="G132" s="20">
        <f>COUNTIFS(GameStats!I:I,A132,GameStats!B:B,"&gt;="&amp;$Q$1)</f>
        <v>0</v>
      </c>
      <c r="H132" s="33">
        <f>SUMIFS(GameStats!F:F,GameStats!C:C,A132,GameStats!B:B,"&gt;="&amp;$Q$1)</f>
        <v>1211</v>
      </c>
      <c r="I132" s="33">
        <f>SUMIFS(GameStats!G:G,GameStats!C:C,A132,GameStats!B:B,"&gt;="&amp;$Q$1)</f>
        <v>1508</v>
      </c>
      <c r="J132" s="33">
        <f t="shared" si="14"/>
        <v>1211</v>
      </c>
      <c r="K132" s="33">
        <f t="shared" si="15"/>
        <v>1508</v>
      </c>
      <c r="L132" s="32">
        <f t="shared" si="16"/>
        <v>0</v>
      </c>
      <c r="M132" s="29">
        <f>('Elo model'!$E$14*PlayerStats!D106) + ('Elo model'!$F$14*(1/PlayerStats!E106)) + ('Elo model'!$G$14*(PlayerStats!F106/1.75)) + ('Elo model'!$H$14*(PlayerStats!L106/4))</f>
        <v>5.3993175000688003E-2</v>
      </c>
      <c r="N132" s="21">
        <f>_xlfn.MINIFS(GameStats!B:B,GameStats!C:C,A132)</f>
        <v>45037</v>
      </c>
      <c r="O132" s="21">
        <f>_xlfn.MAXIFS(GameStats!B:B,GameStats!C:C,A132)</f>
        <v>45037</v>
      </c>
      <c r="P132" t="b">
        <f t="shared" si="17"/>
        <v>1</v>
      </c>
    </row>
    <row r="133" spans="1:17" customFormat="1" ht="14.4" x14ac:dyDescent="0.3">
      <c r="A133" s="20" t="str">
        <f>'All Players'!A75</f>
        <v>YajKMA</v>
      </c>
      <c r="B133" s="20">
        <f>COUNTIFS(GameStats!C:C,A133,GameStats!D:D,"1",GameStats!B:B,"&gt;="&amp;$Q$1)</f>
        <v>0</v>
      </c>
      <c r="C133" s="20">
        <f>COUNTIFS(GameStats!C:C,A133,GameStats!B:B,"&gt;="&amp;$Q$1)</f>
        <v>1</v>
      </c>
      <c r="D133" s="22">
        <f t="shared" si="12"/>
        <v>0</v>
      </c>
      <c r="E133" s="31">
        <f>SUMIFS(GameStats!D:D,GameStats!C:C,A133,GameStats!B:B,"&gt;="&amp;$Q$1)/C133</f>
        <v>8</v>
      </c>
      <c r="F133" s="32">
        <f t="shared" si="13"/>
        <v>1.0850460666194188</v>
      </c>
      <c r="G133" s="20">
        <f>COUNTIFS(GameStats!I:I,A133,GameStats!B:B,"&gt;="&amp;$Q$1)</f>
        <v>0</v>
      </c>
      <c r="H133" s="33">
        <f>SUMIFS(GameStats!F:F,GameStats!C:C,A133,GameStats!B:B,"&gt;="&amp;$Q$1)</f>
        <v>1531</v>
      </c>
      <c r="I133" s="33">
        <f>SUMIFS(GameStats!G:G,GameStats!C:C,A133,GameStats!B:B,"&gt;="&amp;$Q$1)</f>
        <v>1411</v>
      </c>
      <c r="J133" s="33">
        <f t="shared" si="14"/>
        <v>1531</v>
      </c>
      <c r="K133" s="33">
        <f t="shared" si="15"/>
        <v>1411</v>
      </c>
      <c r="L133" s="32">
        <f t="shared" si="16"/>
        <v>0</v>
      </c>
      <c r="M133" s="29">
        <f>('Elo model'!$E$14*PlayerStats!D75) + ('Elo model'!$F$14*(1/PlayerStats!E75)) + ('Elo model'!$G$14*(PlayerStats!F75/1.75)) + ('Elo model'!$H$14*(PlayerStats!L75/4))</f>
        <v>0.10926747611995266</v>
      </c>
      <c r="N133" s="21">
        <f>_xlfn.MINIFS(GameStats!B:B,GameStats!C:C,A133)</f>
        <v>45016</v>
      </c>
      <c r="O133" s="21">
        <f>_xlfn.MAXIFS(GameStats!B:B,GameStats!C:C,A133)</f>
        <v>45016</v>
      </c>
      <c r="P133" t="b">
        <f t="shared" si="17"/>
        <v>1</v>
      </c>
      <c r="Q133" s="20"/>
    </row>
    <row r="134" spans="1:17" customFormat="1" ht="14.4" x14ac:dyDescent="0.3">
      <c r="A134" s="20" t="str">
        <f>'All Players'!A193</f>
        <v>Freuh</v>
      </c>
      <c r="B134" s="20">
        <f>COUNTIFS(GameStats!C:C,A134,GameStats!D:D,"1",GameStats!B:B,"&gt;="&amp;$Q$1)</f>
        <v>0</v>
      </c>
      <c r="C134" s="20">
        <f>COUNTIFS(GameStats!C:C,A134,GameStats!B:B,"&gt;="&amp;$Q$1)</f>
        <v>1</v>
      </c>
      <c r="D134" s="22">
        <f t="shared" si="12"/>
        <v>0</v>
      </c>
      <c r="E134" s="31">
        <f>SUMIFS(GameStats!D:D,GameStats!C:C,A134,GameStats!B:B,"&gt;="&amp;$Q$1)/C134</f>
        <v>8</v>
      </c>
      <c r="F134" s="32">
        <f t="shared" si="13"/>
        <v>0.29506093649775494</v>
      </c>
      <c r="G134" s="20">
        <f>COUNTIFS(GameStats!I:I,A134,GameStats!B:B,"&gt;="&amp;$Q$1)</f>
        <v>1</v>
      </c>
      <c r="H134" s="33">
        <f>SUMIFS(GameStats!F:F,GameStats!C:C,A134,GameStats!B:B,"&gt;="&amp;$Q$1)</f>
        <v>460</v>
      </c>
      <c r="I134" s="33">
        <f>SUMIFS(GameStats!G:G,GameStats!C:C,A134,GameStats!B:B,"&gt;="&amp;$Q$1)</f>
        <v>1559</v>
      </c>
      <c r="J134" s="33">
        <f t="shared" si="14"/>
        <v>460</v>
      </c>
      <c r="K134" s="33">
        <f t="shared" si="15"/>
        <v>1559</v>
      </c>
      <c r="L134" s="32">
        <f t="shared" si="16"/>
        <v>1</v>
      </c>
      <c r="M134" s="29">
        <f>('Elo model'!$E$14*PlayerStats!D193) + ('Elo model'!$F$14*(1/PlayerStats!E193)) + ('Elo model'!$G$14*(PlayerStats!F193/1.75)) + ('Elo model'!$H$14*(PlayerStats!L193/4))</f>
        <v>4.4680690072639223E-2</v>
      </c>
      <c r="N134" s="21">
        <f>_xlfn.MINIFS(GameStats!B:B,GameStats!C:C,A134)</f>
        <v>45429</v>
      </c>
      <c r="O134" s="21">
        <f>_xlfn.MAXIFS(GameStats!B:B,GameStats!C:C,A134)</f>
        <v>45429</v>
      </c>
      <c r="P134" t="b">
        <f t="shared" si="17"/>
        <v>1</v>
      </c>
    </row>
    <row r="135" spans="1:17" customFormat="1" ht="14.4" x14ac:dyDescent="0.3">
      <c r="A135" s="20" t="str">
        <f>'All Players'!A217</f>
        <v>DTS</v>
      </c>
      <c r="B135" s="20">
        <f>COUNTIFS(GameStats!C:C,A135,GameStats!D:D,"1",GameStats!B:B,"&gt;="&amp;$Q$1)</f>
        <v>0</v>
      </c>
      <c r="C135" s="20">
        <f>COUNTIFS(GameStats!C:C,A135,GameStats!B:B,"&gt;="&amp;$Q$1)</f>
        <v>1</v>
      </c>
      <c r="D135" s="22">
        <f t="shared" si="12"/>
        <v>0</v>
      </c>
      <c r="E135" s="31">
        <f>SUMIFS(GameStats!D:D,GameStats!C:C,A135,GameStats!B:B,"&gt;="&amp;$Q$1)/C135</f>
        <v>8</v>
      </c>
      <c r="F135" s="32">
        <f t="shared" si="13"/>
        <v>0.86601307189542487</v>
      </c>
      <c r="G135" s="20">
        <f>COUNTIFS(GameStats!I:I,A135,GameStats!B:B,"&gt;="&amp;$Q$1)</f>
        <v>1</v>
      </c>
      <c r="H135" s="33">
        <f>SUMIFS(GameStats!F:F,GameStats!C:C,A135,GameStats!B:B,"&gt;="&amp;$Q$1)</f>
        <v>1325</v>
      </c>
      <c r="I135" s="33">
        <f>SUMIFS(GameStats!G:G,GameStats!C:C,A135,GameStats!B:B,"&gt;="&amp;$Q$1)</f>
        <v>1530</v>
      </c>
      <c r="J135" s="33">
        <f t="shared" si="14"/>
        <v>1325</v>
      </c>
      <c r="K135" s="33">
        <f t="shared" si="15"/>
        <v>1530</v>
      </c>
      <c r="L135" s="32">
        <f t="shared" si="16"/>
        <v>1</v>
      </c>
      <c r="M135" s="29">
        <f>('Elo model'!$E$14*PlayerStats!D217) + ('Elo model'!$F$14*(1/PlayerStats!E217)) + ('Elo model'!$G$14*(PlayerStats!F217/1.75)) + ('Elo model'!$H$14*(PlayerStats!L217/4))</f>
        <v>7.4393090569561157E-2</v>
      </c>
      <c r="N135" s="21">
        <f>_xlfn.MINIFS(GameStats!B:B,GameStats!C:C,A135)</f>
        <v>45457</v>
      </c>
      <c r="O135" s="21">
        <f>_xlfn.MAXIFS(GameStats!B:B,GameStats!C:C,A135)</f>
        <v>45457</v>
      </c>
      <c r="P135" t="b">
        <f t="shared" si="17"/>
        <v>1</v>
      </c>
    </row>
    <row r="136" spans="1:17" customFormat="1" ht="14.4" x14ac:dyDescent="0.3">
      <c r="A136" s="20" t="str">
        <f>'All Players'!A234</f>
        <v>Redbeard</v>
      </c>
      <c r="B136" s="20">
        <f>COUNTIFS(GameStats!C:C,A136,GameStats!D:D,"1",GameStats!B:B,"&gt;="&amp;$Q$1)</f>
        <v>0</v>
      </c>
      <c r="C136" s="20">
        <f>COUNTIFS(GameStats!C:C,A136,GameStats!B:B,"&gt;="&amp;$Q$1)</f>
        <v>1</v>
      </c>
      <c r="D136" s="22">
        <f t="shared" si="12"/>
        <v>0</v>
      </c>
      <c r="E136" s="31">
        <f>SUMIFS(GameStats!D:D,GameStats!C:C,A136,GameStats!B:B,"&gt;="&amp;$Q$1)/C136</f>
        <v>8</v>
      </c>
      <c r="F136" s="32">
        <f t="shared" si="13"/>
        <v>0.57572815533980581</v>
      </c>
      <c r="G136" s="20">
        <f>COUNTIFS(GameStats!I:I,A136,GameStats!B:B,"&gt;="&amp;$Q$1)</f>
        <v>0</v>
      </c>
      <c r="H136" s="33">
        <f>SUMIFS(GameStats!F:F,GameStats!C:C,A136,GameStats!B:B,"&gt;="&amp;$Q$1)</f>
        <v>593</v>
      </c>
      <c r="I136" s="33">
        <f>SUMIFS(GameStats!G:G,GameStats!C:C,A136,GameStats!B:B,"&gt;="&amp;$Q$1)</f>
        <v>1030</v>
      </c>
      <c r="J136" s="33">
        <f t="shared" si="14"/>
        <v>593</v>
      </c>
      <c r="K136" s="33">
        <f t="shared" si="15"/>
        <v>1030</v>
      </c>
      <c r="L136" s="32">
        <f t="shared" si="16"/>
        <v>0</v>
      </c>
      <c r="M136" s="29">
        <f>('Elo model'!$E$14*PlayerStats!D234) + ('Elo model'!$F$14*(1/PlayerStats!E234)) + ('Elo model'!$G$14*(PlayerStats!F234/1.75)) + ('Elo model'!$H$14*(PlayerStats!L234/4))</f>
        <v>7.968146718146718E-2</v>
      </c>
      <c r="N136" s="21">
        <f>_xlfn.MINIFS(GameStats!B:B,GameStats!C:C,A136)</f>
        <v>45478</v>
      </c>
      <c r="O136" s="21">
        <f>_xlfn.MAXIFS(GameStats!B:B,GameStats!C:C,A136)</f>
        <v>45478</v>
      </c>
      <c r="P136" t="b">
        <f t="shared" si="17"/>
        <v>1</v>
      </c>
    </row>
    <row r="137" spans="1:17" customFormat="1" ht="14.4" x14ac:dyDescent="0.3">
      <c r="A137" s="20" t="str">
        <f>'All Players'!A264</f>
        <v>RedBlood3</v>
      </c>
      <c r="B137" s="20">
        <f>COUNTIFS(GameStats!C:C,A137,GameStats!D:D,"1",GameStats!B:B,"&gt;="&amp;$Q$1)</f>
        <v>0</v>
      </c>
      <c r="C137" s="20">
        <f>COUNTIFS(GameStats!C:C,A137,GameStats!B:B,"&gt;="&amp;$Q$1)</f>
        <v>1</v>
      </c>
      <c r="D137" s="22">
        <f t="shared" si="12"/>
        <v>0</v>
      </c>
      <c r="E137" s="31">
        <f>SUMIFS(GameStats!D:D,GameStats!C:C,A137,GameStats!B:B,"&gt;="&amp;$Q$1)/C137</f>
        <v>8</v>
      </c>
      <c r="F137" s="32">
        <f t="shared" si="13"/>
        <v>0.82480314960629919</v>
      </c>
      <c r="G137" s="20">
        <f>COUNTIFS(GameStats!I:I,A137,GameStats!B:B,"&gt;="&amp;$Q$1)</f>
        <v>1</v>
      </c>
      <c r="H137" s="33">
        <f>SUMIFS(GameStats!F:F,GameStats!C:C,A137,GameStats!B:B,"&gt;="&amp;$Q$1)</f>
        <v>838</v>
      </c>
      <c r="I137" s="33">
        <f>SUMIFS(GameStats!G:G,GameStats!C:C,A137,GameStats!B:B,"&gt;="&amp;$Q$1)</f>
        <v>1016</v>
      </c>
      <c r="J137" s="33">
        <f t="shared" si="14"/>
        <v>838</v>
      </c>
      <c r="K137" s="33">
        <f t="shared" si="15"/>
        <v>1016</v>
      </c>
      <c r="L137" s="32">
        <f t="shared" si="16"/>
        <v>1</v>
      </c>
      <c r="M137" s="29">
        <f>('Elo model'!$E$14*PlayerStats!D264) + ('Elo model'!$F$14*(1/PlayerStats!E264)) + ('Elo model'!$G$14*(PlayerStats!F264/1.75)) + ('Elo model'!$H$14*(PlayerStats!L264/4))</f>
        <v>4.6284271284271275E-2</v>
      </c>
      <c r="N137" s="21">
        <f>_xlfn.MINIFS(GameStats!B:B,GameStats!C:C,A137)</f>
        <v>45527</v>
      </c>
      <c r="O137" s="21">
        <f>_xlfn.MAXIFS(GameStats!B:B,GameStats!C:C,A137)</f>
        <v>45527</v>
      </c>
      <c r="P137" t="b">
        <f t="shared" si="17"/>
        <v>1</v>
      </c>
    </row>
    <row r="138" spans="1:17" customFormat="1" ht="14.4" x14ac:dyDescent="0.3">
      <c r="A138" s="20" t="str">
        <f>'All Players'!A25</f>
        <v>morythin</v>
      </c>
      <c r="B138" s="20">
        <f>COUNTIFS(GameStats!C:C,A138,GameStats!D:D,"1",GameStats!B:B,"&gt;="&amp;$Q$1)</f>
        <v>0</v>
      </c>
      <c r="C138" s="20">
        <f>COUNTIFS(GameStats!C:C,A138,GameStats!B:B,"&gt;="&amp;$Q$1)</f>
        <v>1</v>
      </c>
      <c r="D138" s="22">
        <f t="shared" si="12"/>
        <v>0</v>
      </c>
      <c r="E138" s="31">
        <f>SUMIFS(GameStats!D:D,GameStats!C:C,A138,GameStats!B:B,"&gt;="&amp;$Q$1)/C138</f>
        <v>9</v>
      </c>
      <c r="F138" s="32">
        <f t="shared" si="13"/>
        <v>0.67217125382262999</v>
      </c>
      <c r="G138" s="20">
        <f>COUNTIFS(GameStats!I:I,A138,GameStats!B:B,"&gt;="&amp;$Q$1)</f>
        <v>0</v>
      </c>
      <c r="H138" s="33">
        <f>SUMIFS(GameStats!F:F,GameStats!C:C,A138,GameStats!B:B,"&gt;="&amp;$Q$1)</f>
        <v>1099</v>
      </c>
      <c r="I138" s="33">
        <f>SUMIFS(GameStats!G:G,GameStats!C:C,A138,GameStats!B:B,"&gt;="&amp;$Q$1)</f>
        <v>1635</v>
      </c>
      <c r="J138" s="33">
        <f t="shared" si="14"/>
        <v>1099</v>
      </c>
      <c r="K138" s="33">
        <f t="shared" si="15"/>
        <v>1635</v>
      </c>
      <c r="L138" s="32">
        <f t="shared" si="16"/>
        <v>0</v>
      </c>
      <c r="M138" s="29">
        <f>('Elo model'!$E$14*PlayerStats!D25) + ('Elo model'!$F$14*(1/PlayerStats!E25)) + ('Elo model'!$G$14*(PlayerStats!F25/1.75)) + ('Elo model'!$H$14*(PlayerStats!L25/4))</f>
        <v>0.12481382443445231</v>
      </c>
      <c r="N138" s="21">
        <f>_xlfn.MINIFS(GameStats!B:B,GameStats!C:C,A138)</f>
        <v>44974</v>
      </c>
      <c r="O138" s="21">
        <f>_xlfn.MAXIFS(GameStats!B:B,GameStats!C:C,A138)</f>
        <v>44974</v>
      </c>
      <c r="P138" t="b">
        <f t="shared" si="17"/>
        <v>1</v>
      </c>
    </row>
    <row r="139" spans="1:17" customFormat="1" ht="14.4" x14ac:dyDescent="0.3">
      <c r="A139" s="20" t="str">
        <f>'All Players'!A97</f>
        <v>OleYeller</v>
      </c>
      <c r="B139" s="20">
        <f>COUNTIFS(GameStats!C:C,A139,GameStats!D:D,"1",GameStats!B:B,"&gt;="&amp;$Q$1)</f>
        <v>0</v>
      </c>
      <c r="C139" s="20">
        <f>COUNTIFS(GameStats!C:C,A139,GameStats!B:B,"&gt;="&amp;$Q$1)</f>
        <v>1</v>
      </c>
      <c r="D139" s="22">
        <f t="shared" si="12"/>
        <v>0</v>
      </c>
      <c r="E139" s="31">
        <f>SUMIFS(GameStats!D:D,GameStats!C:C,A139,GameStats!B:B,"&gt;="&amp;$Q$1)/C139</f>
        <v>9</v>
      </c>
      <c r="F139" s="32">
        <f t="shared" si="13"/>
        <v>0.6506550218340611</v>
      </c>
      <c r="G139" s="20">
        <f>COUNTIFS(GameStats!I:I,A139,GameStats!B:B,"&gt;="&amp;$Q$1)</f>
        <v>0</v>
      </c>
      <c r="H139" s="33">
        <f>SUMIFS(GameStats!F:F,GameStats!C:C,A139,GameStats!B:B,"&gt;="&amp;$Q$1)</f>
        <v>149</v>
      </c>
      <c r="I139" s="33">
        <f>SUMIFS(GameStats!G:G,GameStats!C:C,A139,GameStats!B:B,"&gt;="&amp;$Q$1)</f>
        <v>229</v>
      </c>
      <c r="J139" s="33">
        <f t="shared" si="14"/>
        <v>149</v>
      </c>
      <c r="K139" s="33">
        <f t="shared" si="15"/>
        <v>229</v>
      </c>
      <c r="L139" s="32">
        <f t="shared" si="16"/>
        <v>0</v>
      </c>
      <c r="M139" s="29">
        <f>('Elo model'!$E$14*PlayerStats!D97) + ('Elo model'!$F$14*(1/PlayerStats!E97)) + ('Elo model'!$G$14*(PlayerStats!F97/1.75)) + ('Elo model'!$H$14*(PlayerStats!L97/4))</f>
        <v>0.17494868744606881</v>
      </c>
      <c r="N139" s="21">
        <f>_xlfn.MINIFS(GameStats!B:B,GameStats!C:C,A139)</f>
        <v>45030</v>
      </c>
      <c r="O139" s="21">
        <f>_xlfn.MAXIFS(GameStats!B:B,GameStats!C:C,A139)</f>
        <v>45030</v>
      </c>
      <c r="P139" t="b">
        <f t="shared" si="17"/>
        <v>1</v>
      </c>
      <c r="Q139" s="20"/>
    </row>
    <row r="140" spans="1:17" customFormat="1" ht="14.4" x14ac:dyDescent="0.3">
      <c r="A140" s="20" t="str">
        <f>'All Players'!A206</f>
        <v>merkz</v>
      </c>
      <c r="B140" s="20">
        <f>COUNTIFS(GameStats!C:C,A140,GameStats!D:D,"1",GameStats!B:B,"&gt;="&amp;$Q$1)</f>
        <v>0</v>
      </c>
      <c r="C140" s="20">
        <f>COUNTIFS(GameStats!C:C,A140,GameStats!B:B,"&gt;="&amp;$Q$1)</f>
        <v>1</v>
      </c>
      <c r="D140" s="22">
        <f t="shared" si="12"/>
        <v>0</v>
      </c>
      <c r="E140" s="31">
        <f>SUMIFS(GameStats!D:D,GameStats!C:C,A140,GameStats!B:B,"&gt;="&amp;$Q$1)/C140</f>
        <v>9</v>
      </c>
      <c r="F140" s="32">
        <f t="shared" si="13"/>
        <v>0.6283018867924528</v>
      </c>
      <c r="G140" s="20">
        <f>COUNTIFS(GameStats!I:I,A140,GameStats!B:B,"&gt;="&amp;$Q$1)</f>
        <v>2</v>
      </c>
      <c r="H140" s="33">
        <f>SUMIFS(GameStats!F:F,GameStats!C:C,A140,GameStats!B:B,"&gt;="&amp;$Q$1)</f>
        <v>333</v>
      </c>
      <c r="I140" s="33">
        <f>SUMIFS(GameStats!G:G,GameStats!C:C,A140,GameStats!B:B,"&gt;="&amp;$Q$1)</f>
        <v>530</v>
      </c>
      <c r="J140" s="33">
        <f t="shared" si="14"/>
        <v>333</v>
      </c>
      <c r="K140" s="33">
        <f t="shared" si="15"/>
        <v>530</v>
      </c>
      <c r="L140" s="32">
        <f t="shared" si="16"/>
        <v>2</v>
      </c>
      <c r="M140" s="29">
        <f>('Elo model'!$E$14*PlayerStats!D206) + ('Elo model'!$F$14*(1/PlayerStats!E206)) + ('Elo model'!$G$14*(PlayerStats!F206/1.75)) + ('Elo model'!$H$14*(PlayerStats!L206/4))</f>
        <v>3.4486102133160959E-2</v>
      </c>
      <c r="N140" s="21">
        <f>_xlfn.MINIFS(GameStats!B:B,GameStats!C:C,A140)</f>
        <v>45443</v>
      </c>
      <c r="O140" s="21">
        <f>_xlfn.MAXIFS(GameStats!B:B,GameStats!C:C,A140)</f>
        <v>45443</v>
      </c>
      <c r="P140" t="b">
        <f t="shared" si="17"/>
        <v>1</v>
      </c>
    </row>
    <row r="141" spans="1:17" customFormat="1" ht="14.4" x14ac:dyDescent="0.3">
      <c r="A141" s="20" t="str">
        <f>'All Players'!A231</f>
        <v>manimalist</v>
      </c>
      <c r="B141" s="20">
        <f>COUNTIFS(GameStats!C:C,A141,GameStats!D:D,"1",GameStats!B:B,"&gt;="&amp;$Q$1)</f>
        <v>0</v>
      </c>
      <c r="C141" s="20">
        <f>COUNTIFS(GameStats!C:C,A141,GameStats!B:B,"&gt;="&amp;$Q$1)</f>
        <v>1</v>
      </c>
      <c r="D141" s="22">
        <f t="shared" si="12"/>
        <v>0</v>
      </c>
      <c r="E141" s="31">
        <f>SUMIFS(GameStats!D:D,GameStats!C:C,A141,GameStats!B:B,"&gt;="&amp;$Q$1)/C141</f>
        <v>9</v>
      </c>
      <c r="F141" s="32">
        <f t="shared" si="13"/>
        <v>0.55424274973147158</v>
      </c>
      <c r="G141" s="20">
        <f>COUNTIFS(GameStats!I:I,A141,GameStats!B:B,"&gt;="&amp;$Q$1)</f>
        <v>1</v>
      </c>
      <c r="H141" s="33">
        <f>SUMIFS(GameStats!F:F,GameStats!C:C,A141,GameStats!B:B,"&gt;="&amp;$Q$1)</f>
        <v>516</v>
      </c>
      <c r="I141" s="33">
        <f>SUMIFS(GameStats!G:G,GameStats!C:C,A141,GameStats!B:B,"&gt;="&amp;$Q$1)</f>
        <v>931</v>
      </c>
      <c r="J141" s="33">
        <f t="shared" si="14"/>
        <v>516</v>
      </c>
      <c r="K141" s="33">
        <f t="shared" si="15"/>
        <v>931</v>
      </c>
      <c r="L141" s="32">
        <f t="shared" si="16"/>
        <v>1</v>
      </c>
      <c r="M141" s="29">
        <f>('Elo model'!$E$14*PlayerStats!D231) + ('Elo model'!$F$14*(1/PlayerStats!E231)) + ('Elo model'!$G$14*(PlayerStats!F231/1.75)) + ('Elo model'!$H$14*(PlayerStats!L231/4))</f>
        <v>5.2613677049767271E-2</v>
      </c>
      <c r="N141" s="21">
        <f>_xlfn.MINIFS(GameStats!B:B,GameStats!C:C,A141)</f>
        <v>45471</v>
      </c>
      <c r="O141" s="21">
        <f>_xlfn.MAXIFS(GameStats!B:B,GameStats!C:C,A141)</f>
        <v>45471</v>
      </c>
      <c r="P141" t="b">
        <f t="shared" si="17"/>
        <v>1</v>
      </c>
    </row>
    <row r="142" spans="1:17" customFormat="1" ht="14.4" x14ac:dyDescent="0.3">
      <c r="A142" s="20" t="str">
        <f>'All Players'!A278</f>
        <v>ARTIGOT</v>
      </c>
      <c r="B142" s="20">
        <f>COUNTIFS(GameStats!C:C,A142,GameStats!D:D,"1",GameStats!B:B,"&gt;="&amp;$Q$1)</f>
        <v>0</v>
      </c>
      <c r="C142" s="20">
        <f>COUNTIFS(GameStats!C:C,A142,GameStats!B:B,"&gt;="&amp;$Q$1)</f>
        <v>1</v>
      </c>
      <c r="D142" s="22">
        <f t="shared" si="12"/>
        <v>0</v>
      </c>
      <c r="E142" s="31">
        <f>SUMIFS(GameStats!D:D,GameStats!C:C,A142,GameStats!B:B,"&gt;="&amp;$Q$1)/C142</f>
        <v>9</v>
      </c>
      <c r="F142" s="32">
        <f t="shared" si="13"/>
        <v>1.398762157382847</v>
      </c>
      <c r="G142" s="20">
        <f>COUNTIFS(GameStats!I:I,A142,GameStats!B:B,"&gt;="&amp;$Q$1)</f>
        <v>1</v>
      </c>
      <c r="H142" s="33">
        <f>SUMIFS(GameStats!F:F,GameStats!C:C,A142,GameStats!B:B,"&gt;="&amp;$Q$1)</f>
        <v>1582</v>
      </c>
      <c r="I142" s="33">
        <f>SUMIFS(GameStats!G:G,GameStats!C:C,A142,GameStats!B:B,"&gt;="&amp;$Q$1)</f>
        <v>1131</v>
      </c>
      <c r="J142" s="33">
        <f t="shared" si="14"/>
        <v>1582</v>
      </c>
      <c r="K142" s="33">
        <f t="shared" si="15"/>
        <v>1131</v>
      </c>
      <c r="L142" s="32">
        <f t="shared" si="16"/>
        <v>1</v>
      </c>
      <c r="M142" s="29">
        <f>('Elo model'!$E$14*PlayerStats!D278) + ('Elo model'!$F$14*(1/PlayerStats!E278)) + ('Elo model'!$G$14*(PlayerStats!F278/1.75)) + ('Elo model'!$H$14*(PlayerStats!L278/4))</f>
        <v>5.1699770817417876E-2</v>
      </c>
      <c r="N142" s="21">
        <f>_xlfn.MINIFS(GameStats!B:B,GameStats!C:C,A142)</f>
        <v>45548</v>
      </c>
      <c r="O142" s="21">
        <f>_xlfn.MAXIFS(GameStats!B:B,GameStats!C:C,A142)</f>
        <v>45548</v>
      </c>
      <c r="P142" t="b">
        <f t="shared" si="17"/>
        <v>1</v>
      </c>
    </row>
    <row r="143" spans="1:17" customFormat="1" ht="14.4" x14ac:dyDescent="0.3">
      <c r="A143" s="20" t="str">
        <f>'All Players'!A98</f>
        <v>Swedishpro</v>
      </c>
      <c r="B143" s="20">
        <f>COUNTIFS(GameStats!C:C,A143,GameStats!D:D,"1",GameStats!B:B,"&gt;="&amp;$Q$1)</f>
        <v>0</v>
      </c>
      <c r="C143" s="20">
        <f>COUNTIFS(GameStats!C:C,A143,GameStats!B:B,"&gt;="&amp;$Q$1)</f>
        <v>1</v>
      </c>
      <c r="D143" s="22">
        <f t="shared" si="12"/>
        <v>0</v>
      </c>
      <c r="E143" s="31">
        <f>SUMIFS(GameStats!D:D,GameStats!C:C,A143,GameStats!B:B,"&gt;="&amp;$Q$1)/C143</f>
        <v>10</v>
      </c>
      <c r="F143" s="32">
        <f t="shared" si="13"/>
        <v>1.0509554140127388</v>
      </c>
      <c r="G143" s="20">
        <f>COUNTIFS(GameStats!I:I,A143,GameStats!B:B,"&gt;="&amp;$Q$1)</f>
        <v>0</v>
      </c>
      <c r="H143" s="33">
        <f>SUMIFS(GameStats!F:F,GameStats!C:C,A143,GameStats!B:B,"&gt;="&amp;$Q$1)</f>
        <v>165</v>
      </c>
      <c r="I143" s="33">
        <f>SUMIFS(GameStats!G:G,GameStats!C:C,A143,GameStats!B:B,"&gt;="&amp;$Q$1)</f>
        <v>157</v>
      </c>
      <c r="J143" s="33">
        <f t="shared" si="14"/>
        <v>165</v>
      </c>
      <c r="K143" s="33">
        <f t="shared" si="15"/>
        <v>157</v>
      </c>
      <c r="L143" s="32">
        <f t="shared" si="16"/>
        <v>0</v>
      </c>
      <c r="M143" s="29">
        <f>('Elo model'!$E$14*PlayerStats!D98) + ('Elo model'!$F$14*(1/PlayerStats!E98)) + ('Elo model'!$G$14*(PlayerStats!F98/1.75)) + ('Elo model'!$H$14*(PlayerStats!L98/4))</f>
        <v>0.36535126255546974</v>
      </c>
      <c r="N143" s="21">
        <f>_xlfn.MINIFS(GameStats!B:B,GameStats!C:C,A143)</f>
        <v>45030</v>
      </c>
      <c r="O143" s="21">
        <f>_xlfn.MAXIFS(GameStats!B:B,GameStats!C:C,A143)</f>
        <v>45030</v>
      </c>
      <c r="P143" t="b">
        <f t="shared" si="17"/>
        <v>1</v>
      </c>
      <c r="Q143" s="20"/>
    </row>
    <row r="144" spans="1:17" customFormat="1" ht="14.4" x14ac:dyDescent="0.3">
      <c r="A144" s="20" t="str">
        <f>'All Players'!A132</f>
        <v>smokey</v>
      </c>
      <c r="B144" s="20">
        <f>COUNTIFS(GameStats!C:C,A144,GameStats!D:D,"1",GameStats!B:B,"&gt;="&amp;$Q$1)</f>
        <v>0</v>
      </c>
      <c r="C144" s="20">
        <f>COUNTIFS(GameStats!C:C,A144,GameStats!B:B,"&gt;="&amp;$Q$1)</f>
        <v>1</v>
      </c>
      <c r="D144" s="22">
        <f t="shared" si="12"/>
        <v>0</v>
      </c>
      <c r="E144" s="31">
        <f>SUMIFS(GameStats!D:D,GameStats!C:C,A144,GameStats!B:B,"&gt;="&amp;$Q$1)/C144</f>
        <v>10</v>
      </c>
      <c r="F144" s="32">
        <f t="shared" si="13"/>
        <v>0.88855421686746983</v>
      </c>
      <c r="G144" s="20">
        <f>COUNTIFS(GameStats!I:I,A144,GameStats!B:B,"&gt;="&amp;$Q$1)</f>
        <v>2</v>
      </c>
      <c r="H144" s="33">
        <f>SUMIFS(GameStats!F:F,GameStats!C:C,A144,GameStats!B:B,"&gt;="&amp;$Q$1)</f>
        <v>590</v>
      </c>
      <c r="I144" s="33">
        <f>SUMIFS(GameStats!G:G,GameStats!C:C,A144,GameStats!B:B,"&gt;="&amp;$Q$1)</f>
        <v>664</v>
      </c>
      <c r="J144" s="33">
        <f t="shared" si="14"/>
        <v>590</v>
      </c>
      <c r="K144" s="33">
        <f t="shared" si="15"/>
        <v>664</v>
      </c>
      <c r="L144" s="32">
        <f t="shared" si="16"/>
        <v>2</v>
      </c>
      <c r="M144" s="29">
        <f>('Elo model'!$E$14*PlayerStats!D132) + ('Elo model'!$F$14*(1/PlayerStats!E132)) + ('Elo model'!$G$14*(PlayerStats!F132/1.75)) + ('Elo model'!$H$14*(PlayerStats!L132/4))</f>
        <v>0.10008289124668435</v>
      </c>
      <c r="N144" s="21">
        <f>_xlfn.MINIFS(GameStats!B:B,GameStats!C:C,A144)</f>
        <v>45373</v>
      </c>
      <c r="O144" s="21">
        <f>_xlfn.MAXIFS(GameStats!B:B,GameStats!C:C,A144)</f>
        <v>45373</v>
      </c>
      <c r="P144" t="b">
        <f t="shared" si="17"/>
        <v>1</v>
      </c>
    </row>
    <row r="145" spans="1:16" customFormat="1" ht="14.4" x14ac:dyDescent="0.3">
      <c r="A145" s="20" t="str">
        <f>'All Players'!A88</f>
        <v>Greenrust</v>
      </c>
      <c r="B145" s="20">
        <f>COUNTIFS(GameStats!C:C,A145,GameStats!D:D,"1",GameStats!B:B,"&gt;="&amp;$Q$1)</f>
        <v>0</v>
      </c>
      <c r="C145" s="20">
        <f>COUNTIFS(GameStats!C:C,A145,GameStats!B:B,"&gt;="&amp;$Q$1)</f>
        <v>1</v>
      </c>
      <c r="D145" s="22">
        <f t="shared" si="12"/>
        <v>0</v>
      </c>
      <c r="E145" s="31">
        <f>SUMIFS(GameStats!D:D,GameStats!C:C,A145,GameStats!B:B,"&gt;="&amp;$Q$1)/C145</f>
        <v>10</v>
      </c>
      <c r="F145" s="32">
        <f t="shared" si="13"/>
        <v>0.48909090909090908</v>
      </c>
      <c r="G145" s="20">
        <f>COUNTIFS(GameStats!I:I,A145,GameStats!B:B,"&gt;="&amp;$Q$1)</f>
        <v>0</v>
      </c>
      <c r="H145" s="33">
        <f>SUMIFS(GameStats!F:F,GameStats!C:C,A145,GameStats!B:B,"&gt;="&amp;$Q$1)</f>
        <v>269</v>
      </c>
      <c r="I145" s="33">
        <f>SUMIFS(GameStats!G:G,GameStats!C:C,A145,GameStats!B:B,"&gt;="&amp;$Q$1)</f>
        <v>550</v>
      </c>
      <c r="J145" s="33">
        <f t="shared" si="14"/>
        <v>269</v>
      </c>
      <c r="K145" s="33">
        <f t="shared" si="15"/>
        <v>550</v>
      </c>
      <c r="L145" s="32">
        <f t="shared" si="16"/>
        <v>0</v>
      </c>
      <c r="M145" s="29">
        <f>('Elo model'!$E$14*PlayerStats!D88) + ('Elo model'!$F$14*(1/PlayerStats!E88)) + ('Elo model'!$G$14*(PlayerStats!F88/1.75)) + ('Elo model'!$H$14*(PlayerStats!L88/4))</f>
        <v>5.3170630739123884E-2</v>
      </c>
      <c r="N145" s="21">
        <f>_xlfn.MINIFS(GameStats!B:B,GameStats!C:C,A145)</f>
        <v>45023</v>
      </c>
      <c r="O145" s="21">
        <f>_xlfn.MAXIFS(GameStats!B:B,GameStats!C:C,A145)</f>
        <v>45023</v>
      </c>
      <c r="P145" t="b">
        <f t="shared" si="17"/>
        <v>1</v>
      </c>
    </row>
    <row r="146" spans="1:16" customFormat="1" ht="14.4" x14ac:dyDescent="0.3">
      <c r="A146" s="20" t="str">
        <f>'All Players'!A239</f>
        <v>Popcorn</v>
      </c>
      <c r="B146" s="20">
        <f>COUNTIFS(GameStats!C:C,A146,GameStats!D:D,"1",GameStats!B:B,"&gt;="&amp;$Q$1)</f>
        <v>0</v>
      </c>
      <c r="C146" s="20">
        <f>COUNTIFS(GameStats!C:C,A146,GameStats!B:B,"&gt;="&amp;$Q$1)</f>
        <v>1</v>
      </c>
      <c r="D146" s="22">
        <f t="shared" si="12"/>
        <v>0</v>
      </c>
      <c r="E146" s="31">
        <f>SUMIFS(GameStats!D:D,GameStats!C:C,A146,GameStats!B:B,"&gt;="&amp;$Q$1)/C146</f>
        <v>10</v>
      </c>
      <c r="F146" s="32">
        <f t="shared" si="13"/>
        <v>0.71122994652406413</v>
      </c>
      <c r="G146" s="20">
        <f>COUNTIFS(GameStats!I:I,A146,GameStats!B:B,"&gt;="&amp;$Q$1)</f>
        <v>0</v>
      </c>
      <c r="H146" s="33">
        <f>SUMIFS(GameStats!F:F,GameStats!C:C,A146,GameStats!B:B,"&gt;="&amp;$Q$1)</f>
        <v>133</v>
      </c>
      <c r="I146" s="33">
        <f>SUMIFS(GameStats!G:G,GameStats!C:C,A146,GameStats!B:B,"&gt;="&amp;$Q$1)</f>
        <v>187</v>
      </c>
      <c r="J146" s="33">
        <f t="shared" si="14"/>
        <v>133</v>
      </c>
      <c r="K146" s="33">
        <f t="shared" si="15"/>
        <v>187</v>
      </c>
      <c r="L146" s="32">
        <f t="shared" si="16"/>
        <v>0</v>
      </c>
      <c r="M146" s="29">
        <f>('Elo model'!$E$14*PlayerStats!D239) + ('Elo model'!$F$14*(1/PlayerStats!E239)) + ('Elo model'!$G$14*(PlayerStats!F239/1.75)) + ('Elo model'!$H$14*(PlayerStats!L239/4))</f>
        <v>5.6515444015444005E-2</v>
      </c>
      <c r="N146" s="21">
        <f>_xlfn.MINIFS(GameStats!B:B,GameStats!C:C,A146)</f>
        <v>45492</v>
      </c>
      <c r="O146" s="21">
        <f>_xlfn.MAXIFS(GameStats!B:B,GameStats!C:C,A146)</f>
        <v>45492</v>
      </c>
      <c r="P146" t="b">
        <f t="shared" si="17"/>
        <v>1</v>
      </c>
    </row>
    <row r="147" spans="1:16" customFormat="1" ht="14.4" x14ac:dyDescent="0.3">
      <c r="A147" s="20" t="str">
        <f>'All Players'!A177</f>
        <v>DarKnight</v>
      </c>
      <c r="B147" s="20">
        <f>COUNTIFS(GameStats!C:C,A147,GameStats!D:D,"1",GameStats!B:B,"&gt;="&amp;$Q$1)</f>
        <v>0</v>
      </c>
      <c r="C147" s="20">
        <f>COUNTIFS(GameStats!C:C,A147,GameStats!B:B,"&gt;="&amp;$Q$1)</f>
        <v>1</v>
      </c>
      <c r="D147" s="22">
        <f t="shared" si="12"/>
        <v>0</v>
      </c>
      <c r="E147" s="31">
        <f>SUMIFS(GameStats!D:D,GameStats!C:C,A147,GameStats!B:B,"&gt;="&amp;$Q$1)/C147</f>
        <v>11</v>
      </c>
      <c r="F147" s="32">
        <f t="shared" si="13"/>
        <v>1.0793893129770993</v>
      </c>
      <c r="G147" s="20">
        <f>COUNTIFS(GameStats!I:I,A147,GameStats!B:B,"&gt;="&amp;$Q$1)</f>
        <v>0</v>
      </c>
      <c r="H147" s="33">
        <f>SUMIFS(GameStats!F:F,GameStats!C:C,A147,GameStats!B:B,"&gt;="&amp;$Q$1)</f>
        <v>707</v>
      </c>
      <c r="I147" s="33">
        <f>SUMIFS(GameStats!G:G,GameStats!C:C,A147,GameStats!B:B,"&gt;="&amp;$Q$1)</f>
        <v>655</v>
      </c>
      <c r="J147" s="33">
        <f t="shared" si="14"/>
        <v>707</v>
      </c>
      <c r="K147" s="33">
        <f t="shared" si="15"/>
        <v>655</v>
      </c>
      <c r="L147" s="32">
        <f t="shared" si="16"/>
        <v>0</v>
      </c>
      <c r="M147" s="29">
        <f>('Elo model'!$E$14*PlayerStats!D177) + ('Elo model'!$F$14*(1/PlayerStats!E177)) + ('Elo model'!$G$14*(PlayerStats!F177/1.75)) + ('Elo model'!$H$14*(PlayerStats!L177/4))</f>
        <v>8.3786848072562356E-2</v>
      </c>
      <c r="N147" s="21">
        <f>_xlfn.MINIFS(GameStats!B:B,GameStats!C:C,A147)</f>
        <v>45415</v>
      </c>
      <c r="O147" s="21">
        <f>_xlfn.MAXIFS(GameStats!B:B,GameStats!C:C,A147)</f>
        <v>45415</v>
      </c>
      <c r="P147" t="b">
        <f t="shared" si="17"/>
        <v>1</v>
      </c>
    </row>
    <row r="148" spans="1:16" customFormat="1" ht="14.4" x14ac:dyDescent="0.3">
      <c r="A148" s="20" t="str">
        <f>'All Players'!A99</f>
        <v>Fanka</v>
      </c>
      <c r="B148" s="20">
        <f>COUNTIFS(GameStats!C:C,A148,GameStats!D:D,"1",GameStats!B:B,"&gt;="&amp;$Q$1)</f>
        <v>0</v>
      </c>
      <c r="C148" s="20">
        <f>COUNTIFS(GameStats!C:C,A148,GameStats!B:B,"&gt;="&amp;$Q$1)</f>
        <v>1</v>
      </c>
      <c r="D148" s="22">
        <f t="shared" si="12"/>
        <v>0</v>
      </c>
      <c r="E148" s="31">
        <f>SUMIFS(GameStats!D:D,GameStats!C:C,A148,GameStats!B:B,"&gt;="&amp;$Q$1)/C148</f>
        <v>11</v>
      </c>
      <c r="F148" s="32">
        <f t="shared" si="13"/>
        <v>0.61199999999999999</v>
      </c>
      <c r="G148" s="20">
        <f>COUNTIFS(GameStats!I:I,A148,GameStats!B:B,"&gt;="&amp;$Q$1)</f>
        <v>0</v>
      </c>
      <c r="H148" s="33">
        <f>SUMIFS(GameStats!F:F,GameStats!C:C,A148,GameStats!B:B,"&gt;="&amp;$Q$1)</f>
        <v>153</v>
      </c>
      <c r="I148" s="33">
        <f>SUMIFS(GameStats!G:G,GameStats!C:C,A148,GameStats!B:B,"&gt;="&amp;$Q$1)</f>
        <v>250</v>
      </c>
      <c r="J148" s="33">
        <f t="shared" si="14"/>
        <v>153</v>
      </c>
      <c r="K148" s="33">
        <f t="shared" si="15"/>
        <v>250</v>
      </c>
      <c r="L148" s="32">
        <f t="shared" si="16"/>
        <v>0</v>
      </c>
      <c r="M148" s="29">
        <f>('Elo model'!$E$14*PlayerStats!D99) + ('Elo model'!$F$14*(1/PlayerStats!E99)) + ('Elo model'!$G$14*(PlayerStats!F99/1.75)) + ('Elo model'!$H$14*(PlayerStats!L99/4))</f>
        <v>9.8091618770209693E-2</v>
      </c>
      <c r="N148" s="21">
        <f>_xlfn.MINIFS(GameStats!B:B,GameStats!C:C,A148)</f>
        <v>45030</v>
      </c>
      <c r="O148" s="21">
        <f>_xlfn.MAXIFS(GameStats!B:B,GameStats!C:C,A148)</f>
        <v>45030</v>
      </c>
      <c r="P148" t="b">
        <f t="shared" si="17"/>
        <v>1</v>
      </c>
    </row>
    <row r="149" spans="1:16" customFormat="1" ht="14.4" x14ac:dyDescent="0.3">
      <c r="A149" s="20" t="str">
        <f>'All Players'!A51</f>
        <v>Arfan</v>
      </c>
      <c r="B149" s="20">
        <f>COUNTIFS(GameStats!C:C,A149,GameStats!D:D,"1",GameStats!B:B,"&gt;="&amp;$Q$1)</f>
        <v>0</v>
      </c>
      <c r="C149" s="20">
        <f>COUNTIFS(GameStats!C:C,A149,GameStats!B:B,"&gt;="&amp;$Q$1)</f>
        <v>1</v>
      </c>
      <c r="D149" s="22">
        <f t="shared" si="12"/>
        <v>0</v>
      </c>
      <c r="E149" s="31">
        <f>SUMIFS(GameStats!D:D,GameStats!C:C,A149,GameStats!B:B,"&gt;="&amp;$Q$1)/C149</f>
        <v>11</v>
      </c>
      <c r="F149" s="32">
        <f t="shared" si="13"/>
        <v>0.66526455612131941</v>
      </c>
      <c r="G149" s="20">
        <f>COUNTIFS(GameStats!I:I,A149,GameStats!B:B,"&gt;="&amp;$Q$1)</f>
        <v>0</v>
      </c>
      <c r="H149" s="33">
        <f>SUMIFS(GameStats!F:F,GameStats!C:C,A149,GameStats!B:B,"&gt;="&amp;$Q$1)</f>
        <v>3005</v>
      </c>
      <c r="I149" s="33">
        <f>SUMIFS(GameStats!G:G,GameStats!C:C,A149,GameStats!B:B,"&gt;="&amp;$Q$1)</f>
        <v>4517</v>
      </c>
      <c r="J149" s="33">
        <f t="shared" si="14"/>
        <v>3005</v>
      </c>
      <c r="K149" s="33">
        <f t="shared" si="15"/>
        <v>4517</v>
      </c>
      <c r="L149" s="32">
        <f t="shared" si="16"/>
        <v>0</v>
      </c>
      <c r="M149" s="29">
        <f>('Elo model'!$E$14*PlayerStats!D51) + ('Elo model'!$F$14*(1/PlayerStats!E51)) + ('Elo model'!$G$14*PlayerStats!F51) + ('Elo model'!$H$14*(PlayerStats!L51/4))</f>
        <v>0.15732468158999452</v>
      </c>
      <c r="N149" s="21">
        <f>_xlfn.MINIFS(GameStats!B:B,GameStats!C:C,A149)</f>
        <v>44995</v>
      </c>
      <c r="O149" s="21">
        <f>_xlfn.MAXIFS(GameStats!B:B,GameStats!C:C,A149)</f>
        <v>44995</v>
      </c>
      <c r="P149" t="b">
        <f t="shared" si="17"/>
        <v>1</v>
      </c>
    </row>
    <row r="150" spans="1:16" customFormat="1" ht="14.4" x14ac:dyDescent="0.3">
      <c r="A150" s="20" t="str">
        <f>'All Players'!A218</f>
        <v>skyriext</v>
      </c>
      <c r="B150" s="20">
        <f>COUNTIFS(GameStats!C:C,A150,GameStats!D:D,"1",GameStats!B:B,"&gt;="&amp;$Q$1)</f>
        <v>0</v>
      </c>
      <c r="C150" s="20">
        <f>COUNTIFS(GameStats!C:C,A150,GameStats!B:B,"&gt;="&amp;$Q$1)</f>
        <v>1</v>
      </c>
      <c r="D150" s="22">
        <f t="shared" si="12"/>
        <v>0</v>
      </c>
      <c r="E150" s="31">
        <f>SUMIFS(GameStats!D:D,GameStats!C:C,A150,GameStats!B:B,"&gt;="&amp;$Q$1)/C150</f>
        <v>11</v>
      </c>
      <c r="F150" s="32">
        <f t="shared" si="13"/>
        <v>0.29032258064516131</v>
      </c>
      <c r="G150" s="20">
        <f>COUNTIFS(GameStats!I:I,A150,GameStats!B:B,"&gt;="&amp;$Q$1)</f>
        <v>0</v>
      </c>
      <c r="H150" s="33">
        <f>SUMIFS(GameStats!F:F,GameStats!C:C,A150,GameStats!B:B,"&gt;="&amp;$Q$1)</f>
        <v>27</v>
      </c>
      <c r="I150" s="33">
        <f>SUMIFS(GameStats!G:G,GameStats!C:C,A150,GameStats!B:B,"&gt;="&amp;$Q$1)</f>
        <v>93</v>
      </c>
      <c r="J150" s="33">
        <f t="shared" si="14"/>
        <v>27</v>
      </c>
      <c r="K150" s="33">
        <f t="shared" si="15"/>
        <v>93</v>
      </c>
      <c r="L150" s="32">
        <f t="shared" si="16"/>
        <v>0</v>
      </c>
      <c r="M150" s="29">
        <f>('Elo model'!$E$14*PlayerStats!D218) + ('Elo model'!$F$14*(1/PlayerStats!E218)) + ('Elo model'!$G$14*(PlayerStats!F218/1.75)) + ('Elo model'!$H$14*(PlayerStats!L218/4))</f>
        <v>4.0956558061821219E-2</v>
      </c>
      <c r="N150" s="21">
        <f>_xlfn.MINIFS(GameStats!B:B,GameStats!C:C,A150)</f>
        <v>45457</v>
      </c>
      <c r="O150" s="21">
        <f>_xlfn.MAXIFS(GameStats!B:B,GameStats!C:C,A150)</f>
        <v>45457</v>
      </c>
      <c r="P150" t="b">
        <f t="shared" si="17"/>
        <v>1</v>
      </c>
    </row>
    <row r="151" spans="1:16" customFormat="1" ht="14.4" x14ac:dyDescent="0.3">
      <c r="A151" s="20" t="str">
        <f>'All Players'!A269</f>
        <v>Deens</v>
      </c>
      <c r="B151" s="20">
        <f>COUNTIFS(GameStats!C:C,A151,GameStats!D:D,"1",GameStats!B:B,"&gt;="&amp;$Q$1)</f>
        <v>0</v>
      </c>
      <c r="C151" s="20">
        <f>COUNTIFS(GameStats!C:C,A151,GameStats!B:B,"&gt;="&amp;$Q$1)</f>
        <v>1</v>
      </c>
      <c r="D151" s="22">
        <f t="shared" si="12"/>
        <v>0</v>
      </c>
      <c r="E151" s="31">
        <f>SUMIFS(GameStats!D:D,GameStats!C:C,A151,GameStats!B:B,"&gt;="&amp;$Q$1)/C151</f>
        <v>11</v>
      </c>
      <c r="F151" s="32">
        <f t="shared" si="13"/>
        <v>0.56829268292682922</v>
      </c>
      <c r="G151" s="20">
        <f>COUNTIFS(GameStats!I:I,A151,GameStats!B:B,"&gt;="&amp;$Q$1)</f>
        <v>1</v>
      </c>
      <c r="H151" s="33">
        <f>SUMIFS(GameStats!F:F,GameStats!C:C,A151,GameStats!B:B,"&gt;="&amp;$Q$1)</f>
        <v>233</v>
      </c>
      <c r="I151" s="33">
        <f>SUMIFS(GameStats!G:G,GameStats!C:C,A151,GameStats!B:B,"&gt;="&amp;$Q$1)</f>
        <v>410</v>
      </c>
      <c r="J151" s="33">
        <f t="shared" si="14"/>
        <v>233</v>
      </c>
      <c r="K151" s="33">
        <f t="shared" si="15"/>
        <v>410</v>
      </c>
      <c r="L151" s="32">
        <f t="shared" si="16"/>
        <v>1</v>
      </c>
      <c r="M151" s="29">
        <f>('Elo model'!$E$14*PlayerStats!D269) + ('Elo model'!$F$14*(1/PlayerStats!E269)) + ('Elo model'!$G$14*(PlayerStats!F269/1.75)) + ('Elo model'!$H$14*(PlayerStats!L269/4))</f>
        <v>5.6741787624140561E-2</v>
      </c>
      <c r="N151" s="21">
        <f>_xlfn.MINIFS(GameStats!B:B,GameStats!C:C,A151)</f>
        <v>45534</v>
      </c>
      <c r="O151" s="21">
        <f>_xlfn.MAXIFS(GameStats!B:B,GameStats!C:C,A151)</f>
        <v>45534</v>
      </c>
      <c r="P151" t="b">
        <f t="shared" si="17"/>
        <v>1</v>
      </c>
    </row>
    <row r="152" spans="1:16" customFormat="1" ht="14.4" x14ac:dyDescent="0.3">
      <c r="A152" s="20" t="str">
        <f>'All Players'!A272</f>
        <v>WhiteDeath</v>
      </c>
      <c r="B152" s="20">
        <f>COUNTIFS(GameStats!C:C,A152,GameStats!D:D,"1",GameStats!B:B,"&gt;="&amp;$Q$1)</f>
        <v>0</v>
      </c>
      <c r="C152" s="20">
        <f>COUNTIFS(GameStats!C:C,A152,GameStats!B:B,"&gt;="&amp;$Q$1)</f>
        <v>1</v>
      </c>
      <c r="D152" s="22">
        <f t="shared" si="12"/>
        <v>0</v>
      </c>
      <c r="E152" s="31">
        <f>SUMIFS(GameStats!D:D,GameStats!C:C,A152,GameStats!B:B,"&gt;="&amp;$Q$1)/C152</f>
        <v>11</v>
      </c>
      <c r="F152" s="32">
        <f t="shared" si="13"/>
        <v>0.88063063063063063</v>
      </c>
      <c r="G152" s="20">
        <f>COUNTIFS(GameStats!I:I,A152,GameStats!B:B,"&gt;="&amp;$Q$1)</f>
        <v>0</v>
      </c>
      <c r="H152" s="33">
        <f>SUMIFS(GameStats!F:F,GameStats!C:C,A152,GameStats!B:B,"&gt;="&amp;$Q$1)</f>
        <v>391</v>
      </c>
      <c r="I152" s="33">
        <f>SUMIFS(GameStats!G:G,GameStats!C:C,A152,GameStats!B:B,"&gt;="&amp;$Q$1)</f>
        <v>444</v>
      </c>
      <c r="J152" s="33">
        <f t="shared" si="14"/>
        <v>391</v>
      </c>
      <c r="K152" s="33">
        <f t="shared" si="15"/>
        <v>444</v>
      </c>
      <c r="L152" s="32">
        <f t="shared" si="16"/>
        <v>0</v>
      </c>
      <c r="M152" s="29">
        <f>('Elo model'!$E$14*PlayerStats!D272) + ('Elo model'!$F$14*(1/PlayerStats!E272)) + ('Elo model'!$G$14*(PlayerStats!F272/1.75)) + ('Elo model'!$H$14*(PlayerStats!L272/4))</f>
        <v>3.8636363636363635E-2</v>
      </c>
      <c r="N152" s="21">
        <f>_xlfn.MINIFS(GameStats!B:B,GameStats!C:C,A152)</f>
        <v>45541</v>
      </c>
      <c r="O152" s="21">
        <f>_xlfn.MAXIFS(GameStats!B:B,GameStats!C:C,A152)</f>
        <v>45541</v>
      </c>
      <c r="P152" t="b">
        <f t="shared" si="17"/>
        <v>1</v>
      </c>
    </row>
    <row r="153" spans="1:16" customFormat="1" ht="14.4" x14ac:dyDescent="0.3">
      <c r="A153" s="20" t="str">
        <f>'All Players'!A13</f>
        <v>TwoFourThree</v>
      </c>
      <c r="B153" s="20">
        <f>COUNTIFS(GameStats!C:C,A153,GameStats!D:D,"1",GameStats!B:B,"&gt;="&amp;$Q$1)</f>
        <v>0</v>
      </c>
      <c r="C153" s="20">
        <f>COUNTIFS(GameStats!C:C,A153,GameStats!B:B,"&gt;="&amp;$Q$1)</f>
        <v>1</v>
      </c>
      <c r="D153" s="22">
        <f t="shared" si="12"/>
        <v>0</v>
      </c>
      <c r="E153" s="31">
        <f>SUMIFS(GameStats!D:D,GameStats!C:C,A153,GameStats!B:B,"&gt;="&amp;$Q$1)/C153</f>
        <v>12</v>
      </c>
      <c r="F153" s="32">
        <f t="shared" si="13"/>
        <v>0.22302158273381295</v>
      </c>
      <c r="G153" s="20">
        <f>COUNTIFS(GameStats!I:I,A153,GameStats!B:B,"&gt;="&amp;$Q$1)</f>
        <v>0</v>
      </c>
      <c r="H153" s="33">
        <f>SUMIFS(GameStats!F:F,GameStats!C:C,A153,GameStats!B:B,"&gt;="&amp;$Q$1)</f>
        <v>31</v>
      </c>
      <c r="I153" s="33">
        <f>SUMIFS(GameStats!G:G,GameStats!C:C,A153,GameStats!B:B,"&gt;="&amp;$Q$1)</f>
        <v>139</v>
      </c>
      <c r="J153" s="33">
        <f t="shared" si="14"/>
        <v>31</v>
      </c>
      <c r="K153" s="33">
        <f t="shared" si="15"/>
        <v>139</v>
      </c>
      <c r="L153" s="32">
        <f t="shared" si="16"/>
        <v>0</v>
      </c>
      <c r="M153" s="29">
        <f>('Elo model'!$E$14*PlayerStats!D13) + ('Elo model'!$F$14*(1/PlayerStats!E13)) + ('Elo model'!$G$14*(PlayerStats!F13/1.75)) + ('Elo model'!$H$14*(PlayerStats!L13/4))</f>
        <v>0.25301213343075452</v>
      </c>
      <c r="N153" s="21">
        <f>_xlfn.MINIFS(GameStats!B:B,GameStats!C:C,A153)</f>
        <v>44967</v>
      </c>
      <c r="O153" s="21">
        <f>_xlfn.MAXIFS(GameStats!B:B,GameStats!C:C,A153)</f>
        <v>44967</v>
      </c>
      <c r="P153" t="b">
        <f t="shared" si="17"/>
        <v>1</v>
      </c>
    </row>
    <row r="154" spans="1:16" customFormat="1" ht="14.4" x14ac:dyDescent="0.3">
      <c r="A154" s="20" t="str">
        <f>'All Players'!A64</f>
        <v>radmantis</v>
      </c>
      <c r="B154" s="20">
        <f>COUNTIFS(GameStats!C:C,A154,GameStats!D:D,"1",GameStats!B:B,"&gt;="&amp;$Q$1)</f>
        <v>0</v>
      </c>
      <c r="C154" s="20">
        <f>COUNTIFS(GameStats!C:C,A154,GameStats!B:B,"&gt;="&amp;$Q$1)</f>
        <v>1</v>
      </c>
      <c r="D154" s="22">
        <f t="shared" si="12"/>
        <v>0</v>
      </c>
      <c r="E154" s="31">
        <f>SUMIFS(GameStats!D:D,GameStats!C:C,A154,GameStats!B:B,"&gt;="&amp;$Q$1)/C154</f>
        <v>12</v>
      </c>
      <c r="F154" s="32">
        <f t="shared" si="13"/>
        <v>0.79056047197640122</v>
      </c>
      <c r="G154" s="20">
        <f>COUNTIFS(GameStats!I:I,A154,GameStats!B:B,"&gt;="&amp;$Q$1)</f>
        <v>0</v>
      </c>
      <c r="H154" s="33">
        <f>SUMIFS(GameStats!F:F,GameStats!C:C,A154,GameStats!B:B,"&gt;="&amp;$Q$1)</f>
        <v>268</v>
      </c>
      <c r="I154" s="33">
        <f>SUMIFS(GameStats!G:G,GameStats!C:C,A154,GameStats!B:B,"&gt;="&amp;$Q$1)</f>
        <v>339</v>
      </c>
      <c r="J154" s="33">
        <f t="shared" si="14"/>
        <v>268</v>
      </c>
      <c r="K154" s="33">
        <f t="shared" si="15"/>
        <v>339</v>
      </c>
      <c r="L154" s="32">
        <f t="shared" si="16"/>
        <v>0</v>
      </c>
      <c r="M154" s="29">
        <f>('Elo model'!$E$14*PlayerStats!D64) + ('Elo model'!$F$14*(1/PlayerStats!E64)) + ('Elo model'!$G$14*(PlayerStats!F64/1.75)) + ('Elo model'!$H$14*(PlayerStats!L64/4))</f>
        <v>8.1280924672445867E-2</v>
      </c>
      <c r="N154" s="21">
        <f>_xlfn.MINIFS(GameStats!B:B,GameStats!C:C,A154)</f>
        <v>45009</v>
      </c>
      <c r="O154" s="21">
        <f>_xlfn.MAXIFS(GameStats!B:B,GameStats!C:C,A154)</f>
        <v>45009</v>
      </c>
      <c r="P154" t="b">
        <f t="shared" si="17"/>
        <v>1</v>
      </c>
    </row>
    <row r="155" spans="1:16" customFormat="1" ht="14.4" x14ac:dyDescent="0.3">
      <c r="A155" s="20" t="str">
        <f>'All Players'!A107</f>
        <v>OleYellow</v>
      </c>
      <c r="B155" s="20">
        <f>COUNTIFS(GameStats!C:C,A155,GameStats!D:D,"1",GameStats!B:B,"&gt;="&amp;$Q$1)</f>
        <v>0</v>
      </c>
      <c r="C155" s="20">
        <f>COUNTIFS(GameStats!C:C,A155,GameStats!B:B,"&gt;="&amp;$Q$1)</f>
        <v>1</v>
      </c>
      <c r="D155" s="22">
        <f t="shared" si="12"/>
        <v>0</v>
      </c>
      <c r="E155" s="31">
        <f>SUMIFS(GameStats!D:D,GameStats!C:C,A155,GameStats!B:B,"&gt;="&amp;$Q$1)/C155</f>
        <v>12</v>
      </c>
      <c r="F155" s="32">
        <f t="shared" si="13"/>
        <v>1.344632768361582</v>
      </c>
      <c r="G155" s="20">
        <f>COUNTIFS(GameStats!I:I,A155,GameStats!B:B,"&gt;="&amp;$Q$1)</f>
        <v>0</v>
      </c>
      <c r="H155" s="33">
        <f>SUMIFS(GameStats!F:F,GameStats!C:C,A155,GameStats!B:B,"&gt;="&amp;$Q$1)</f>
        <v>238</v>
      </c>
      <c r="I155" s="33">
        <f>SUMIFS(GameStats!G:G,GameStats!C:C,A155,GameStats!B:B,"&gt;="&amp;$Q$1)</f>
        <v>177</v>
      </c>
      <c r="J155" s="33">
        <f t="shared" si="14"/>
        <v>238</v>
      </c>
      <c r="K155" s="33">
        <f t="shared" si="15"/>
        <v>177</v>
      </c>
      <c r="L155" s="32">
        <f t="shared" si="16"/>
        <v>0</v>
      </c>
      <c r="M155" s="29">
        <f>('Elo model'!$E$14*PlayerStats!D107) + ('Elo model'!$F$14*(1/PlayerStats!E107)) + ('Elo model'!$G$14*(PlayerStats!F107/1.75)) + ('Elo model'!$H$14*(PlayerStats!L107/4))</f>
        <v>7.5509410915551606E-2</v>
      </c>
      <c r="N155" s="21">
        <f>_xlfn.MINIFS(GameStats!B:B,GameStats!C:C,A155)</f>
        <v>45037</v>
      </c>
      <c r="O155" s="21">
        <f>_xlfn.MAXIFS(GameStats!B:B,GameStats!C:C,A155)</f>
        <v>45037</v>
      </c>
      <c r="P155" t="b">
        <f t="shared" si="17"/>
        <v>1</v>
      </c>
    </row>
    <row r="156" spans="1:16" customFormat="1" ht="14.4" x14ac:dyDescent="0.3">
      <c r="A156" s="20" t="str">
        <f>'All Players'!A178</f>
        <v>Karakiri</v>
      </c>
      <c r="B156" s="20">
        <f>COUNTIFS(GameStats!C:C,A156,GameStats!D:D,"1",GameStats!B:B,"&gt;="&amp;$Q$1)</f>
        <v>0</v>
      </c>
      <c r="C156" s="20">
        <f>COUNTIFS(GameStats!C:C,A156,GameStats!B:B,"&gt;="&amp;$Q$1)</f>
        <v>1</v>
      </c>
      <c r="D156" s="22">
        <f t="shared" si="12"/>
        <v>0</v>
      </c>
      <c r="E156" s="31">
        <f>SUMIFS(GameStats!D:D,GameStats!C:C,A156,GameStats!B:B,"&gt;="&amp;$Q$1)/C156</f>
        <v>12</v>
      </c>
      <c r="F156" s="32">
        <f t="shared" si="13"/>
        <v>0.906183368869936</v>
      </c>
      <c r="G156" s="20">
        <f>COUNTIFS(GameStats!I:I,A156,GameStats!B:B,"&gt;="&amp;$Q$1)</f>
        <v>0</v>
      </c>
      <c r="H156" s="33">
        <f>SUMIFS(GameStats!F:F,GameStats!C:C,A156,GameStats!B:B,"&gt;="&amp;$Q$1)</f>
        <v>425</v>
      </c>
      <c r="I156" s="33">
        <f>SUMIFS(GameStats!G:G,GameStats!C:C,A156,GameStats!B:B,"&gt;="&amp;$Q$1)</f>
        <v>469</v>
      </c>
      <c r="J156" s="33">
        <f t="shared" si="14"/>
        <v>425</v>
      </c>
      <c r="K156" s="33">
        <f t="shared" si="15"/>
        <v>469</v>
      </c>
      <c r="L156" s="32">
        <f t="shared" si="16"/>
        <v>0</v>
      </c>
      <c r="M156" s="29">
        <f>('Elo model'!$E$14*PlayerStats!D178) + ('Elo model'!$F$14*(1/PlayerStats!E178)) + ('Elo model'!$G$14*(PlayerStats!F178/1.75)) + ('Elo model'!$H$14*(PlayerStats!L178/4))</f>
        <v>6.7335209946047386E-2</v>
      </c>
      <c r="N156" s="21">
        <f>_xlfn.MINIFS(GameStats!B:B,GameStats!C:C,A156)</f>
        <v>45415</v>
      </c>
      <c r="O156" s="21">
        <f>_xlfn.MAXIFS(GameStats!B:B,GameStats!C:C,A156)</f>
        <v>45415</v>
      </c>
      <c r="P156" t="b">
        <f t="shared" si="17"/>
        <v>1</v>
      </c>
    </row>
    <row r="157" spans="1:16" customFormat="1" ht="14.4" x14ac:dyDescent="0.3">
      <c r="A157" s="20" t="str">
        <f>'All Players'!A219</f>
        <v>ScarletLord</v>
      </c>
      <c r="B157" s="20">
        <f>COUNTIFS(GameStats!C:C,A157,GameStats!D:D,"1",GameStats!B:B,"&gt;="&amp;$Q$1)</f>
        <v>0</v>
      </c>
      <c r="C157" s="20">
        <f>COUNTIFS(GameStats!C:C,A157,GameStats!B:B,"&gt;="&amp;$Q$1)</f>
        <v>1</v>
      </c>
      <c r="D157" s="22">
        <f t="shared" si="12"/>
        <v>0</v>
      </c>
      <c r="E157" s="31">
        <f>SUMIFS(GameStats!D:D,GameStats!C:C,A157,GameStats!B:B,"&gt;="&amp;$Q$1)/C157</f>
        <v>12</v>
      </c>
      <c r="F157" s="32">
        <f t="shared" si="13"/>
        <v>0.53386454183266929</v>
      </c>
      <c r="G157" s="20">
        <f>COUNTIFS(GameStats!I:I,A157,GameStats!B:B,"&gt;="&amp;$Q$1)</f>
        <v>0</v>
      </c>
      <c r="H157" s="33">
        <f>SUMIFS(GameStats!F:F,GameStats!C:C,A157,GameStats!B:B,"&gt;="&amp;$Q$1)</f>
        <v>134</v>
      </c>
      <c r="I157" s="33">
        <f>SUMIFS(GameStats!G:G,GameStats!C:C,A157,GameStats!B:B,"&gt;="&amp;$Q$1)</f>
        <v>251</v>
      </c>
      <c r="J157" s="33">
        <f t="shared" si="14"/>
        <v>134</v>
      </c>
      <c r="K157" s="33">
        <f t="shared" si="15"/>
        <v>251</v>
      </c>
      <c r="L157" s="32">
        <f t="shared" si="16"/>
        <v>0</v>
      </c>
      <c r="M157" s="29">
        <f>('Elo model'!$E$14*PlayerStats!D219) + ('Elo model'!$F$14*(1/PlayerStats!E219)) + ('Elo model'!$G$14*(PlayerStats!F219/1.75)) + ('Elo model'!$H$14*(PlayerStats!L219/4))</f>
        <v>5.1498218334953022E-2</v>
      </c>
      <c r="N157" s="21">
        <f>_xlfn.MINIFS(GameStats!B:B,GameStats!C:C,A157)</f>
        <v>45457</v>
      </c>
      <c r="O157" s="21">
        <f>_xlfn.MAXIFS(GameStats!B:B,GameStats!C:C,A157)</f>
        <v>45457</v>
      </c>
      <c r="P157" t="b">
        <f t="shared" si="17"/>
        <v>1</v>
      </c>
    </row>
    <row r="158" spans="1:16" customFormat="1" ht="14.4" x14ac:dyDescent="0.3">
      <c r="A158" s="20" t="str">
        <f>'All Players'!A240</f>
        <v>Cadiz</v>
      </c>
      <c r="B158" s="20">
        <f>COUNTIFS(GameStats!C:C,A158,GameStats!D:D,"1",GameStats!B:B,"&gt;="&amp;$Q$1)</f>
        <v>0</v>
      </c>
      <c r="C158" s="20">
        <f>COUNTIFS(GameStats!C:C,A158,GameStats!B:B,"&gt;="&amp;$Q$1)</f>
        <v>1</v>
      </c>
      <c r="D158" s="22">
        <f t="shared" si="12"/>
        <v>0</v>
      </c>
      <c r="E158" s="31">
        <f>SUMIFS(GameStats!D:D,GameStats!C:C,A158,GameStats!B:B,"&gt;="&amp;$Q$1)/C158</f>
        <v>12</v>
      </c>
      <c r="F158" s="32">
        <f t="shared" si="13"/>
        <v>0.83783783783783783</v>
      </c>
      <c r="G158" s="20">
        <f>COUNTIFS(GameStats!I:I,A158,GameStats!B:B,"&gt;="&amp;$Q$1)</f>
        <v>0</v>
      </c>
      <c r="H158" s="33">
        <f>SUMIFS(GameStats!F:F,GameStats!C:C,A158,GameStats!B:B,"&gt;="&amp;$Q$1)</f>
        <v>155</v>
      </c>
      <c r="I158" s="33">
        <f>SUMIFS(GameStats!G:G,GameStats!C:C,A158,GameStats!B:B,"&gt;="&amp;$Q$1)</f>
        <v>185</v>
      </c>
      <c r="J158" s="33">
        <f t="shared" si="14"/>
        <v>155</v>
      </c>
      <c r="K158" s="33">
        <f t="shared" si="15"/>
        <v>185</v>
      </c>
      <c r="L158" s="32">
        <f t="shared" si="16"/>
        <v>0</v>
      </c>
      <c r="M158" s="29">
        <f>('Elo model'!$E$14*PlayerStats!D240) + ('Elo model'!$F$14*(1/PlayerStats!E240)) + ('Elo model'!$G$14*(PlayerStats!F240/1.75)) + ('Elo model'!$H$14*(PlayerStats!L240/4))</f>
        <v>6.7395666131621193E-2</v>
      </c>
      <c r="N158" s="21">
        <f>_xlfn.MINIFS(GameStats!B:B,GameStats!C:C,A158)</f>
        <v>45492</v>
      </c>
      <c r="O158" s="21">
        <f>_xlfn.MAXIFS(GameStats!B:B,GameStats!C:C,A158)</f>
        <v>45492</v>
      </c>
      <c r="P158" t="b">
        <f t="shared" si="17"/>
        <v>1</v>
      </c>
    </row>
    <row r="159" spans="1:16" customFormat="1" ht="14.4" x14ac:dyDescent="0.3">
      <c r="A159" s="20" t="str">
        <f>'All Players'!A285</f>
        <v>NoRiskNoFun</v>
      </c>
      <c r="B159" s="20">
        <f>COUNTIFS(GameStats!C:C,A159,GameStats!D:D,"1",GameStats!B:B,"&gt;="&amp;$Q$1)</f>
        <v>0</v>
      </c>
      <c r="C159" s="20">
        <f>COUNTIFS(GameStats!C:C,A159,GameStats!B:B,"&gt;="&amp;$Q$1)</f>
        <v>1</v>
      </c>
      <c r="D159" s="22">
        <f t="shared" si="12"/>
        <v>0</v>
      </c>
      <c r="E159" s="31">
        <f>SUMIFS(GameStats!D:D,GameStats!C:C,A159,GameStats!B:B,"&gt;="&amp;$Q$1)/C159</f>
        <v>12</v>
      </c>
      <c r="F159" s="32">
        <f t="shared" si="13"/>
        <v>0.42134831460674155</v>
      </c>
      <c r="G159" s="20">
        <f>COUNTIFS(GameStats!I:I,A159,GameStats!B:B,"&gt;="&amp;$Q$1)</f>
        <v>0</v>
      </c>
      <c r="H159" s="33">
        <f>SUMIFS(GameStats!F:F,GameStats!C:C,A159,GameStats!B:B,"&gt;="&amp;$Q$1)</f>
        <v>75</v>
      </c>
      <c r="I159" s="33">
        <f>SUMIFS(GameStats!G:G,GameStats!C:C,A159,GameStats!B:B,"&gt;="&amp;$Q$1)</f>
        <v>178</v>
      </c>
      <c r="J159" s="33">
        <f t="shared" si="14"/>
        <v>75</v>
      </c>
      <c r="K159" s="33">
        <f t="shared" si="15"/>
        <v>178</v>
      </c>
      <c r="L159" s="32">
        <f t="shared" si="16"/>
        <v>0</v>
      </c>
      <c r="M159" s="29">
        <f>('Elo model'!$E$14*PlayerStats!D285) + ('Elo model'!$F$14*(1/PlayerStats!E285)) + ('Elo model'!$G$14*(PlayerStats!F285/1.75)) + ('Elo model'!$H$14*(PlayerStats!L285/4))</f>
        <v>2.3114463176574979E-2</v>
      </c>
      <c r="N159" s="21">
        <f>_xlfn.MINIFS(GameStats!B:B,GameStats!C:C,A159)</f>
        <v>45562</v>
      </c>
      <c r="O159" s="21">
        <f>_xlfn.MAXIFS(GameStats!B:B,GameStats!C:C,A159)</f>
        <v>45562</v>
      </c>
      <c r="P159" t="b">
        <f t="shared" si="17"/>
        <v>1</v>
      </c>
    </row>
    <row r="160" spans="1:16" customFormat="1" ht="14.4" x14ac:dyDescent="0.3">
      <c r="A160" s="20" t="str">
        <f>'All Players'!A101</f>
        <v>Balboa</v>
      </c>
      <c r="B160" s="20">
        <f>COUNTIFS(GameStats!C:C,A160,GameStats!D:D,"1",GameStats!B:B,"&gt;="&amp;$Q$1)</f>
        <v>0</v>
      </c>
      <c r="C160" s="20">
        <f>COUNTIFS(GameStats!C:C,A160,GameStats!B:B,"&gt;="&amp;$Q$1)</f>
        <v>1</v>
      </c>
      <c r="D160" s="22">
        <f t="shared" si="12"/>
        <v>0</v>
      </c>
      <c r="E160" s="31">
        <f>SUMIFS(GameStats!D:D,GameStats!C:C,A160,GameStats!B:B,"&gt;="&amp;$Q$1)/C160</f>
        <v>13</v>
      </c>
      <c r="F160" s="32">
        <f t="shared" si="13"/>
        <v>0.7441860465116279</v>
      </c>
      <c r="G160" s="20">
        <f>COUNTIFS(GameStats!I:I,A160,GameStats!B:B,"&gt;="&amp;$Q$1)</f>
        <v>0</v>
      </c>
      <c r="H160" s="33">
        <f>SUMIFS(GameStats!F:F,GameStats!C:C,A160,GameStats!B:B,"&gt;="&amp;$Q$1)</f>
        <v>128</v>
      </c>
      <c r="I160" s="33">
        <f>SUMIFS(GameStats!G:G,GameStats!C:C,A160,GameStats!B:B,"&gt;="&amp;$Q$1)</f>
        <v>172</v>
      </c>
      <c r="J160" s="33">
        <f t="shared" si="14"/>
        <v>128</v>
      </c>
      <c r="K160" s="33">
        <f t="shared" si="15"/>
        <v>172</v>
      </c>
      <c r="L160" s="32">
        <f t="shared" si="16"/>
        <v>0</v>
      </c>
      <c r="M160" s="29">
        <f>('Elo model'!$E$14*PlayerStats!D101) + ('Elo model'!$F$14*(1/PlayerStats!E101)) + ('Elo model'!$G$14*(PlayerStats!F101/1.75)) + ('Elo model'!$H$14*(PlayerStats!L101/4))</f>
        <v>9.2004264392324092E-2</v>
      </c>
      <c r="N160" s="21">
        <f>_xlfn.MINIFS(GameStats!B:B,GameStats!C:C,A160)</f>
        <v>45030</v>
      </c>
      <c r="O160" s="21">
        <f>_xlfn.MAXIFS(GameStats!B:B,GameStats!C:C,A160)</f>
        <v>45030</v>
      </c>
      <c r="P160" t="b">
        <f t="shared" si="17"/>
        <v>1</v>
      </c>
    </row>
    <row r="161" spans="1:17" customFormat="1" ht="14.4" x14ac:dyDescent="0.3">
      <c r="A161" s="20" t="str">
        <f>'All Players'!A45</f>
        <v>girthquake</v>
      </c>
      <c r="B161" s="20">
        <f>COUNTIFS(GameStats!C:C,A161,GameStats!D:D,"1",GameStats!B:B,"&gt;="&amp;$Q$1)</f>
        <v>0</v>
      </c>
      <c r="C161" s="20">
        <f>COUNTIFS(GameStats!C:C,A161,GameStats!B:B,"&gt;="&amp;$Q$1)</f>
        <v>1</v>
      </c>
      <c r="D161" s="22">
        <f t="shared" si="12"/>
        <v>0</v>
      </c>
      <c r="E161" s="31">
        <f>SUMIFS(GameStats!D:D,GameStats!C:C,A161,GameStats!B:B,"&gt;="&amp;$Q$1)/C161</f>
        <v>13</v>
      </c>
      <c r="F161" s="32">
        <f t="shared" si="13"/>
        <v>0.71134020618556704</v>
      </c>
      <c r="G161" s="20">
        <f>COUNTIFS(GameStats!I:I,A161,GameStats!B:B,"&gt;="&amp;$Q$1)</f>
        <v>0</v>
      </c>
      <c r="H161" s="33">
        <f>SUMIFS(GameStats!F:F,GameStats!C:C,A161,GameStats!B:B,"&gt;="&amp;$Q$1)</f>
        <v>138</v>
      </c>
      <c r="I161" s="33">
        <f>SUMIFS(GameStats!G:G,GameStats!C:C,A161,GameStats!B:B,"&gt;="&amp;$Q$1)</f>
        <v>194</v>
      </c>
      <c r="J161" s="33">
        <f t="shared" si="14"/>
        <v>138</v>
      </c>
      <c r="K161" s="33">
        <f t="shared" si="15"/>
        <v>194</v>
      </c>
      <c r="L161" s="32">
        <f t="shared" si="16"/>
        <v>0</v>
      </c>
      <c r="M161" s="29">
        <f>('Elo model'!$E$14*PlayerStats!D45) + ('Elo model'!$F$14*(1/PlayerStats!E45)) + ('Elo model'!$G$14*PlayerStats!F45) + ('Elo model'!$H$14*(PlayerStats!L45/4))</f>
        <v>0.27573546005615668</v>
      </c>
      <c r="N161" s="21">
        <f>_xlfn.MINIFS(GameStats!B:B,GameStats!C:C,A161)</f>
        <v>44988</v>
      </c>
      <c r="O161" s="21">
        <f>_xlfn.MAXIFS(GameStats!B:B,GameStats!C:C,A161)</f>
        <v>44988</v>
      </c>
      <c r="P161" t="b">
        <f t="shared" si="17"/>
        <v>1</v>
      </c>
    </row>
    <row r="162" spans="1:17" customFormat="1" ht="14.4" x14ac:dyDescent="0.3">
      <c r="A162" s="20" t="str">
        <f>'All Players'!A155</f>
        <v>glob3lz</v>
      </c>
      <c r="B162" s="20">
        <f>COUNTIFS(GameStats!C:C,A162,GameStats!D:D,"1",GameStats!B:B,"&gt;="&amp;$Q$1)</f>
        <v>0</v>
      </c>
      <c r="C162" s="20">
        <f>COUNTIFS(GameStats!C:C,A162,GameStats!B:B,"&gt;="&amp;$Q$1)</f>
        <v>1</v>
      </c>
      <c r="D162" s="22">
        <f t="shared" si="12"/>
        <v>0</v>
      </c>
      <c r="E162" s="31">
        <f>SUMIFS(GameStats!D:D,GameStats!C:C,A162,GameStats!B:B,"&gt;="&amp;$Q$1)/C162</f>
        <v>13</v>
      </c>
      <c r="F162" s="32">
        <f t="shared" si="13"/>
        <v>1.5044247787610618</v>
      </c>
      <c r="G162" s="20">
        <f>COUNTIFS(GameStats!I:I,A162,GameStats!B:B,"&gt;="&amp;$Q$1)</f>
        <v>2</v>
      </c>
      <c r="H162" s="33">
        <f>SUMIFS(GameStats!F:F,GameStats!C:C,A162,GameStats!B:B,"&gt;="&amp;$Q$1)</f>
        <v>170</v>
      </c>
      <c r="I162" s="33">
        <f>SUMIFS(GameStats!G:G,GameStats!C:C,A162,GameStats!B:B,"&gt;="&amp;$Q$1)</f>
        <v>113</v>
      </c>
      <c r="J162" s="33">
        <f t="shared" si="14"/>
        <v>170</v>
      </c>
      <c r="K162" s="33">
        <f t="shared" si="15"/>
        <v>113</v>
      </c>
      <c r="L162" s="32">
        <f t="shared" si="16"/>
        <v>2</v>
      </c>
      <c r="M162" s="29">
        <f>('Elo model'!$E$14*PlayerStats!D155) + ('Elo model'!$F$14*(1/PlayerStats!E155)) + ('Elo model'!$G$14*(PlayerStats!F155/1.75)) + ('Elo model'!$H$14*(PlayerStats!L155/4))</f>
        <v>0.13608757062146892</v>
      </c>
      <c r="N162" s="21">
        <f>_xlfn.MINIFS(GameStats!B:B,GameStats!C:C,A162)</f>
        <v>45394</v>
      </c>
      <c r="O162" s="21">
        <f>_xlfn.MAXIFS(GameStats!B:B,GameStats!C:C,A162)</f>
        <v>45394</v>
      </c>
      <c r="P162" t="b">
        <f t="shared" si="17"/>
        <v>1</v>
      </c>
      <c r="Q162" s="20"/>
    </row>
    <row r="163" spans="1:17" customFormat="1" ht="14.4" x14ac:dyDescent="0.3">
      <c r="A163" s="20" t="str">
        <f>'All Players'!A43</f>
        <v>SilverHawk</v>
      </c>
      <c r="B163" s="20">
        <f>COUNTIFS(GameStats!C:C,A163,GameStats!D:D,"1",GameStats!B:B,"&gt;="&amp;$Q$1)</f>
        <v>0</v>
      </c>
      <c r="C163" s="20">
        <f>COUNTIFS(GameStats!C:C,A163,GameStats!B:B,"&gt;="&amp;$Q$1)</f>
        <v>1</v>
      </c>
      <c r="D163" s="22">
        <f t="shared" si="12"/>
        <v>0</v>
      </c>
      <c r="E163" s="31">
        <f>SUMIFS(GameStats!D:D,GameStats!C:C,A163,GameStats!B:B,"&gt;="&amp;$Q$1)/C163</f>
        <v>13</v>
      </c>
      <c r="F163" s="32">
        <f t="shared" si="13"/>
        <v>0.78378378378378377</v>
      </c>
      <c r="G163" s="20">
        <f>COUNTIFS(GameStats!I:I,A163,GameStats!B:B,"&gt;="&amp;$Q$1)</f>
        <v>0</v>
      </c>
      <c r="H163" s="33">
        <f>SUMIFS(GameStats!F:F,GameStats!C:C,A163,GameStats!B:B,"&gt;="&amp;$Q$1)</f>
        <v>87</v>
      </c>
      <c r="I163" s="33">
        <f>SUMIFS(GameStats!G:G,GameStats!C:C,A163,GameStats!B:B,"&gt;="&amp;$Q$1)</f>
        <v>111</v>
      </c>
      <c r="J163" s="33">
        <f t="shared" si="14"/>
        <v>87</v>
      </c>
      <c r="K163" s="33">
        <f t="shared" si="15"/>
        <v>111</v>
      </c>
      <c r="L163" s="32">
        <f t="shared" si="16"/>
        <v>0</v>
      </c>
      <c r="M163" s="29">
        <f>('Elo model'!$E$14*PlayerStats!D43) + ('Elo model'!$F$14*(1/PlayerStats!E43)) + ('Elo model'!$G$14*PlayerStats!F43) + ('Elo model'!$H$14*(PlayerStats!L43/4))</f>
        <v>0.11693509390832263</v>
      </c>
      <c r="N163" s="21">
        <f>_xlfn.MINIFS(GameStats!B:B,GameStats!C:C,A163)</f>
        <v>44988</v>
      </c>
      <c r="O163" s="21">
        <f>_xlfn.MAXIFS(GameStats!B:B,GameStats!C:C,A163)</f>
        <v>44988</v>
      </c>
      <c r="P163" t="b">
        <f t="shared" si="17"/>
        <v>1</v>
      </c>
      <c r="Q163" s="20"/>
    </row>
    <row r="164" spans="1:17" customFormat="1" ht="14.4" x14ac:dyDescent="0.3">
      <c r="A164" s="20" t="str">
        <f>'All Players'!A44</f>
        <v>kizzp</v>
      </c>
      <c r="B164" s="20">
        <f>COUNTIFS(GameStats!C:C,A164,GameStats!D:D,"1",GameStats!B:B,"&gt;="&amp;$Q$1)</f>
        <v>0</v>
      </c>
      <c r="C164" s="20">
        <f>COUNTIFS(GameStats!C:C,A164,GameStats!B:B,"&gt;="&amp;$Q$1)</f>
        <v>1</v>
      </c>
      <c r="D164" s="22">
        <f t="shared" si="12"/>
        <v>0</v>
      </c>
      <c r="E164" s="31">
        <f>SUMIFS(GameStats!D:D,GameStats!C:C,A164,GameStats!B:B,"&gt;="&amp;$Q$1)/C164</f>
        <v>13</v>
      </c>
      <c r="F164" s="32">
        <f t="shared" si="13"/>
        <v>0.68831168831168832</v>
      </c>
      <c r="G164" s="20">
        <f>COUNTIFS(GameStats!I:I,A164,GameStats!B:B,"&gt;="&amp;$Q$1)</f>
        <v>0</v>
      </c>
      <c r="H164" s="33">
        <f>SUMIFS(GameStats!F:F,GameStats!C:C,A164,GameStats!B:B,"&gt;="&amp;$Q$1)</f>
        <v>53</v>
      </c>
      <c r="I164" s="33">
        <f>SUMIFS(GameStats!G:G,GameStats!C:C,A164,GameStats!B:B,"&gt;="&amp;$Q$1)</f>
        <v>77</v>
      </c>
      <c r="J164" s="33">
        <f t="shared" si="14"/>
        <v>53</v>
      </c>
      <c r="K164" s="33">
        <f t="shared" si="15"/>
        <v>77</v>
      </c>
      <c r="L164" s="32">
        <f t="shared" si="16"/>
        <v>0</v>
      </c>
      <c r="M164" s="29">
        <f>('Elo model'!$E$14*PlayerStats!D44) + ('Elo model'!$F$14*(1/PlayerStats!E44)) + ('Elo model'!$G$14*PlayerStats!F44) + ('Elo model'!$H$14*(PlayerStats!L44/4))</f>
        <v>0.24201392960921517</v>
      </c>
      <c r="N164" s="21">
        <f>_xlfn.MINIFS(GameStats!B:B,GameStats!C:C,A164)</f>
        <v>44988</v>
      </c>
      <c r="O164" s="21">
        <f>_xlfn.MAXIFS(GameStats!B:B,GameStats!C:C,A164)</f>
        <v>44988</v>
      </c>
      <c r="P164" t="b">
        <f t="shared" si="17"/>
        <v>1</v>
      </c>
    </row>
    <row r="165" spans="1:17" customFormat="1" ht="14.4" x14ac:dyDescent="0.3">
      <c r="A165" s="20" t="str">
        <f>'All Players'!A80</f>
        <v>Guratas</v>
      </c>
      <c r="B165" s="20">
        <f>COUNTIFS(GameStats!C:C,A165,GameStats!D:D,"1",GameStats!B:B,"&gt;="&amp;$Q$1)</f>
        <v>0</v>
      </c>
      <c r="C165" s="20">
        <f>COUNTIFS(GameStats!C:C,A165,GameStats!B:B,"&gt;="&amp;$Q$1)</f>
        <v>1</v>
      </c>
      <c r="D165" s="22">
        <f t="shared" si="12"/>
        <v>0</v>
      </c>
      <c r="E165" s="31">
        <f>SUMIFS(GameStats!D:D,GameStats!C:C,A165,GameStats!B:B,"&gt;="&amp;$Q$1)/C165</f>
        <v>13</v>
      </c>
      <c r="F165" s="32">
        <f t="shared" si="13"/>
        <v>0.94285714285714284</v>
      </c>
      <c r="G165" s="20">
        <f>COUNTIFS(GameStats!I:I,A165,GameStats!B:B,"&gt;="&amp;$Q$1)</f>
        <v>0</v>
      </c>
      <c r="H165" s="33">
        <f>SUMIFS(GameStats!F:F,GameStats!C:C,A165,GameStats!B:B,"&gt;="&amp;$Q$1)</f>
        <v>429</v>
      </c>
      <c r="I165" s="33">
        <f>SUMIFS(GameStats!G:G,GameStats!C:C,A165,GameStats!B:B,"&gt;="&amp;$Q$1)</f>
        <v>455</v>
      </c>
      <c r="J165" s="33">
        <f t="shared" si="14"/>
        <v>429</v>
      </c>
      <c r="K165" s="33">
        <f t="shared" si="15"/>
        <v>455</v>
      </c>
      <c r="L165" s="32">
        <f t="shared" si="16"/>
        <v>0</v>
      </c>
      <c r="M165" s="29">
        <f>('Elo model'!$E$14*PlayerStats!D80) + ('Elo model'!$F$14*(1/PlayerStats!E80)) + ('Elo model'!$G$14*(PlayerStats!F80/1.75)) + ('Elo model'!$H$14*(PlayerStats!L80/4))</f>
        <v>8.852865086521533E-2</v>
      </c>
      <c r="N165" s="21">
        <f>_xlfn.MINIFS(GameStats!B:B,GameStats!C:C,A165)</f>
        <v>45016</v>
      </c>
      <c r="O165" s="21">
        <f>_xlfn.MAXIFS(GameStats!B:B,GameStats!C:C,A165)</f>
        <v>45016</v>
      </c>
      <c r="P165" t="b">
        <f t="shared" si="17"/>
        <v>1</v>
      </c>
    </row>
    <row r="166" spans="1:17" customFormat="1" ht="14.4" x14ac:dyDescent="0.3">
      <c r="A166" s="20" t="str">
        <f>'All Players'!A165</f>
        <v>hrdielko</v>
      </c>
      <c r="B166" s="20">
        <f>COUNTIFS(GameStats!C:C,A166,GameStats!D:D,"1",GameStats!B:B,"&gt;="&amp;$Q$1)</f>
        <v>0</v>
      </c>
      <c r="C166" s="20">
        <f>COUNTIFS(GameStats!C:C,A166,GameStats!B:B,"&gt;="&amp;$Q$1)</f>
        <v>1</v>
      </c>
      <c r="D166" s="22">
        <f t="shared" si="12"/>
        <v>0</v>
      </c>
      <c r="E166" s="31">
        <f>SUMIFS(GameStats!D:D,GameStats!C:C,A166,GameStats!B:B,"&gt;="&amp;$Q$1)/C166</f>
        <v>13</v>
      </c>
      <c r="F166" s="32">
        <f t="shared" si="13"/>
        <v>0.99099099099099097</v>
      </c>
      <c r="G166" s="20">
        <f>COUNTIFS(GameStats!I:I,A166,GameStats!B:B,"&gt;="&amp;$Q$1)</f>
        <v>0</v>
      </c>
      <c r="H166" s="33">
        <f>SUMIFS(GameStats!F:F,GameStats!C:C,A166,GameStats!B:B,"&gt;="&amp;$Q$1)</f>
        <v>110</v>
      </c>
      <c r="I166" s="33">
        <f>SUMIFS(GameStats!G:G,GameStats!C:C,A166,GameStats!B:B,"&gt;="&amp;$Q$1)</f>
        <v>111</v>
      </c>
      <c r="J166" s="33">
        <f t="shared" si="14"/>
        <v>110</v>
      </c>
      <c r="K166" s="33">
        <f t="shared" si="15"/>
        <v>111</v>
      </c>
      <c r="L166" s="32">
        <f t="shared" si="16"/>
        <v>0</v>
      </c>
      <c r="M166" s="29">
        <f>('Elo model'!$E$14*PlayerStats!D165) + ('Elo model'!$F$14*(1/PlayerStats!E165)) + ('Elo model'!$G$14*(PlayerStats!F165/1.75)) + ('Elo model'!$H$14*(PlayerStats!L165/4))</f>
        <v>0.10004709576138147</v>
      </c>
      <c r="N166" s="21">
        <f>_xlfn.MINIFS(GameStats!B:B,GameStats!C:C,A166)</f>
        <v>45401</v>
      </c>
      <c r="O166" s="21">
        <f>_xlfn.MAXIFS(GameStats!B:B,GameStats!C:C,A166)</f>
        <v>45401</v>
      </c>
      <c r="P166" t="b">
        <f t="shared" si="17"/>
        <v>1</v>
      </c>
    </row>
    <row r="167" spans="1:17" customFormat="1" ht="14.4" x14ac:dyDescent="0.3">
      <c r="A167" s="20" t="str">
        <f>'All Players'!A134</f>
        <v>drugvalter</v>
      </c>
      <c r="B167" s="20">
        <f>COUNTIFS(GameStats!C:C,A167,GameStats!D:D,"1",GameStats!B:B,"&gt;="&amp;$Q$1)</f>
        <v>0</v>
      </c>
      <c r="C167" s="20">
        <f>COUNTIFS(GameStats!C:C,A167,GameStats!B:B,"&gt;="&amp;$Q$1)</f>
        <v>1</v>
      </c>
      <c r="D167" s="22">
        <f t="shared" si="12"/>
        <v>0</v>
      </c>
      <c r="E167" s="31">
        <f>SUMIFS(GameStats!D:D,GameStats!C:C,A167,GameStats!B:B,"&gt;="&amp;$Q$1)/C167</f>
        <v>13</v>
      </c>
      <c r="F167" s="32">
        <f t="shared" si="13"/>
        <v>0.59526774595267751</v>
      </c>
      <c r="G167" s="20">
        <f>COUNTIFS(GameStats!I:I,A167,GameStats!B:B,"&gt;="&amp;$Q$1)</f>
        <v>0</v>
      </c>
      <c r="H167" s="33">
        <f>SUMIFS(GameStats!F:F,GameStats!C:C,A167,GameStats!B:B,"&gt;="&amp;$Q$1)</f>
        <v>478</v>
      </c>
      <c r="I167" s="33">
        <f>SUMIFS(GameStats!G:G,GameStats!C:C,A167,GameStats!B:B,"&gt;="&amp;$Q$1)</f>
        <v>803</v>
      </c>
      <c r="J167" s="33">
        <f t="shared" si="14"/>
        <v>478</v>
      </c>
      <c r="K167" s="33">
        <f t="shared" si="15"/>
        <v>803</v>
      </c>
      <c r="L167" s="32">
        <f t="shared" si="16"/>
        <v>0</v>
      </c>
      <c r="M167" s="29">
        <f>('Elo model'!$E$14*PlayerStats!D134) + ('Elo model'!$F$14*(1/PlayerStats!E134)) + ('Elo model'!$G$14*(PlayerStats!F134/1.75)) + ('Elo model'!$H$14*(PlayerStats!L134/4))</f>
        <v>8.1540937414093295E-2</v>
      </c>
      <c r="N167" s="21">
        <f>_xlfn.MINIFS(GameStats!B:B,GameStats!C:C,A167)</f>
        <v>45373</v>
      </c>
      <c r="O167" s="21">
        <f>_xlfn.MAXIFS(GameStats!B:B,GameStats!C:C,A167)</f>
        <v>45373</v>
      </c>
      <c r="P167" t="b">
        <f t="shared" si="17"/>
        <v>1</v>
      </c>
    </row>
    <row r="168" spans="1:17" customFormat="1" ht="14.4" x14ac:dyDescent="0.3">
      <c r="A168" s="20" t="str">
        <f>'All Players'!A108</f>
        <v>Sly125</v>
      </c>
      <c r="B168" s="20">
        <f>COUNTIFS(GameStats!C:C,A168,GameStats!D:D,"1",GameStats!B:B,"&gt;="&amp;$Q$1)</f>
        <v>0</v>
      </c>
      <c r="C168" s="20">
        <f>COUNTIFS(GameStats!C:C,A168,GameStats!B:B,"&gt;="&amp;$Q$1)</f>
        <v>1</v>
      </c>
      <c r="D168" s="22">
        <f t="shared" si="12"/>
        <v>0</v>
      </c>
      <c r="E168" s="31">
        <f>SUMIFS(GameStats!D:D,GameStats!C:C,A168,GameStats!B:B,"&gt;="&amp;$Q$1)/C168</f>
        <v>13</v>
      </c>
      <c r="F168" s="32">
        <f t="shared" si="13"/>
        <v>0.48734177215189872</v>
      </c>
      <c r="G168" s="20">
        <f>COUNTIFS(GameStats!I:I,A168,GameStats!B:B,"&gt;="&amp;$Q$1)</f>
        <v>0</v>
      </c>
      <c r="H168" s="33">
        <f>SUMIFS(GameStats!F:F,GameStats!C:C,A168,GameStats!B:B,"&gt;="&amp;$Q$1)</f>
        <v>77</v>
      </c>
      <c r="I168" s="33">
        <f>SUMIFS(GameStats!G:G,GameStats!C:C,A168,GameStats!B:B,"&gt;="&amp;$Q$1)</f>
        <v>158</v>
      </c>
      <c r="J168" s="33">
        <f t="shared" si="14"/>
        <v>77</v>
      </c>
      <c r="K168" s="33">
        <f t="shared" si="15"/>
        <v>158</v>
      </c>
      <c r="L168" s="32">
        <f t="shared" si="16"/>
        <v>0</v>
      </c>
      <c r="M168" s="29">
        <f>('Elo model'!$E$14*PlayerStats!D108) + ('Elo model'!$F$14*(1/PlayerStats!E108)) + ('Elo model'!$G$14*(PlayerStats!F108/1.75)) + ('Elo model'!$H$14*(PlayerStats!L108/4))</f>
        <v>8.2692669172932332E-2</v>
      </c>
      <c r="N168" s="21">
        <f>_xlfn.MINIFS(GameStats!B:B,GameStats!C:C,A168)</f>
        <v>45037</v>
      </c>
      <c r="O168" s="21">
        <f>_xlfn.MAXIFS(GameStats!B:B,GameStats!C:C,A168)</f>
        <v>45037</v>
      </c>
      <c r="P168" t="b">
        <f t="shared" si="17"/>
        <v>1</v>
      </c>
    </row>
    <row r="169" spans="1:17" customFormat="1" ht="14.4" x14ac:dyDescent="0.3">
      <c r="A169" s="20" t="str">
        <f>'All Players'!A235</f>
        <v>Trees</v>
      </c>
      <c r="B169" s="20">
        <f>COUNTIFS(GameStats!C:C,A169,GameStats!D:D,"1",GameStats!B:B,"&gt;="&amp;$Q$1)</f>
        <v>0</v>
      </c>
      <c r="C169" s="20">
        <f>COUNTIFS(GameStats!C:C,A169,GameStats!B:B,"&gt;="&amp;$Q$1)</f>
        <v>1</v>
      </c>
      <c r="D169" s="22">
        <f t="shared" si="12"/>
        <v>0</v>
      </c>
      <c r="E169" s="31">
        <f>SUMIFS(GameStats!D:D,GameStats!C:C,A169,GameStats!B:B,"&gt;="&amp;$Q$1)/C169</f>
        <v>13</v>
      </c>
      <c r="F169" s="32">
        <f t="shared" si="13"/>
        <v>0.6607142857142857</v>
      </c>
      <c r="G169" s="20">
        <f>COUNTIFS(GameStats!I:I,A169,GameStats!B:B,"&gt;="&amp;$Q$1)</f>
        <v>0</v>
      </c>
      <c r="H169" s="33">
        <f>SUMIFS(GameStats!F:F,GameStats!C:C,A169,GameStats!B:B,"&gt;="&amp;$Q$1)</f>
        <v>74</v>
      </c>
      <c r="I169" s="33">
        <f>SUMIFS(GameStats!G:G,GameStats!C:C,A169,GameStats!B:B,"&gt;="&amp;$Q$1)</f>
        <v>112</v>
      </c>
      <c r="J169" s="33">
        <f t="shared" si="14"/>
        <v>74</v>
      </c>
      <c r="K169" s="33">
        <f t="shared" si="15"/>
        <v>112</v>
      </c>
      <c r="L169" s="32">
        <f t="shared" si="16"/>
        <v>0</v>
      </c>
      <c r="M169" s="29">
        <f>('Elo model'!$E$14*PlayerStats!D235) + ('Elo model'!$F$14*(1/PlayerStats!E235)) + ('Elo model'!$G$14*(PlayerStats!F235/1.75)) + ('Elo model'!$H$14*(PlayerStats!L235/4))</f>
        <v>4.838039867109635E-2</v>
      </c>
      <c r="N169" s="21">
        <f>_xlfn.MINIFS(GameStats!B:B,GameStats!C:C,A169)</f>
        <v>45478</v>
      </c>
      <c r="O169" s="21">
        <f>_xlfn.MAXIFS(GameStats!B:B,GameStats!C:C,A169)</f>
        <v>45478</v>
      </c>
      <c r="P169" t="b">
        <f t="shared" si="17"/>
        <v>1</v>
      </c>
    </row>
    <row r="170" spans="1:17" customFormat="1" ht="14.4" x14ac:dyDescent="0.3">
      <c r="A170" s="20" t="str">
        <f>'All Players'!A116</f>
        <v>roflmaooo</v>
      </c>
      <c r="B170" s="20">
        <f>COUNTIFS(GameStats!C:C,A170,GameStats!D:D,"1",GameStats!B:B,"&gt;="&amp;$Q$1)</f>
        <v>0</v>
      </c>
      <c r="C170" s="20">
        <f>COUNTIFS(GameStats!C:C,A170,GameStats!B:B,"&gt;="&amp;$Q$1)</f>
        <v>1</v>
      </c>
      <c r="D170" s="22">
        <f t="shared" si="12"/>
        <v>0</v>
      </c>
      <c r="E170" s="31">
        <f>SUMIFS(GameStats!D:D,GameStats!C:C,A170,GameStats!B:B,"&gt;="&amp;$Q$1)/C170</f>
        <v>14</v>
      </c>
      <c r="F170" s="32">
        <f t="shared" si="13"/>
        <v>0.92452830188679247</v>
      </c>
      <c r="G170" s="20">
        <f>COUNTIFS(GameStats!I:I,A170,GameStats!B:B,"&gt;="&amp;$Q$1)</f>
        <v>0</v>
      </c>
      <c r="H170" s="33">
        <f>SUMIFS(GameStats!F:F,GameStats!C:C,A170,GameStats!B:B,"&gt;="&amp;$Q$1)</f>
        <v>147</v>
      </c>
      <c r="I170" s="33">
        <f>SUMIFS(GameStats!G:G,GameStats!C:C,A170,GameStats!B:B,"&gt;="&amp;$Q$1)</f>
        <v>159</v>
      </c>
      <c r="J170" s="33">
        <f t="shared" si="14"/>
        <v>147</v>
      </c>
      <c r="K170" s="33">
        <f t="shared" si="15"/>
        <v>159</v>
      </c>
      <c r="L170" s="32">
        <f t="shared" si="16"/>
        <v>0</v>
      </c>
      <c r="M170" s="29">
        <f>('Elo model'!$E$14*PlayerStats!D116) + ('Elo model'!$F$14*(1/PlayerStats!E116)) + ('Elo model'!$G$14*(PlayerStats!F116/1.75)) + ('Elo model'!$H$14*(PlayerStats!L116/4))</f>
        <v>5.5350742447516643E-2</v>
      </c>
      <c r="N170" s="21">
        <f>_xlfn.MINIFS(GameStats!B:B,GameStats!C:C,A170)</f>
        <v>45044</v>
      </c>
      <c r="O170" s="21">
        <f>_xlfn.MAXIFS(GameStats!B:B,GameStats!C:C,A170)</f>
        <v>45044</v>
      </c>
      <c r="P170" t="b">
        <f t="shared" si="17"/>
        <v>1</v>
      </c>
      <c r="Q170" s="20"/>
    </row>
    <row r="171" spans="1:17" customFormat="1" ht="14.4" x14ac:dyDescent="0.3">
      <c r="A171" s="20" t="str">
        <f>'All Players'!A15</f>
        <v>Pugynea</v>
      </c>
      <c r="B171" s="20">
        <f>COUNTIFS(GameStats!C:C,A171,GameStats!D:D,"1",GameStats!B:B,"&gt;="&amp;$Q$1)</f>
        <v>0</v>
      </c>
      <c r="C171" s="20">
        <f>COUNTIFS(GameStats!C:C,A171,GameStats!B:B,"&gt;="&amp;$Q$1)</f>
        <v>1</v>
      </c>
      <c r="D171" s="22">
        <f t="shared" si="12"/>
        <v>0</v>
      </c>
      <c r="E171" s="31">
        <f>SUMIFS(GameStats!D:D,GameStats!C:C,A171,GameStats!B:B,"&gt;="&amp;$Q$1)/C171</f>
        <v>14</v>
      </c>
      <c r="F171" s="32">
        <f t="shared" si="13"/>
        <v>0.94915254237288138</v>
      </c>
      <c r="G171" s="20">
        <f>COUNTIFS(GameStats!I:I,A171,GameStats!B:B,"&gt;="&amp;$Q$1)</f>
        <v>0</v>
      </c>
      <c r="H171" s="33">
        <f>SUMIFS(GameStats!F:F,GameStats!C:C,A171,GameStats!B:B,"&gt;="&amp;$Q$1)</f>
        <v>56</v>
      </c>
      <c r="I171" s="33">
        <f>SUMIFS(GameStats!G:G,GameStats!C:C,A171,GameStats!B:B,"&gt;="&amp;$Q$1)</f>
        <v>59</v>
      </c>
      <c r="J171" s="33">
        <f t="shared" si="14"/>
        <v>56</v>
      </c>
      <c r="K171" s="33">
        <f t="shared" si="15"/>
        <v>59</v>
      </c>
      <c r="L171" s="32">
        <f t="shared" si="16"/>
        <v>0</v>
      </c>
      <c r="M171" s="29">
        <f>('Elo model'!$E$14*PlayerStats!D15) + ('Elo model'!$F$14*(1/PlayerStats!E15)) + ('Elo model'!$G$14*(PlayerStats!F15/1.75)) + ('Elo model'!$H$14*(PlayerStats!L15/4))</f>
        <v>0.17150978854512899</v>
      </c>
      <c r="N171" s="21">
        <f>_xlfn.MINIFS(GameStats!B:B,GameStats!C:C,A171)</f>
        <v>44967</v>
      </c>
      <c r="O171" s="21">
        <f>_xlfn.MAXIFS(GameStats!B:B,GameStats!C:C,A171)</f>
        <v>44967</v>
      </c>
      <c r="P171" t="b">
        <f t="shared" si="17"/>
        <v>1</v>
      </c>
    </row>
    <row r="172" spans="1:17" customFormat="1" ht="14.4" x14ac:dyDescent="0.3">
      <c r="A172" s="20" t="str">
        <f>'All Players'!A81</f>
        <v>Quetra</v>
      </c>
      <c r="B172" s="20">
        <f>COUNTIFS(GameStats!C:C,A172,GameStats!D:D,"1",GameStats!B:B,"&gt;="&amp;$Q$1)</f>
        <v>0</v>
      </c>
      <c r="C172" s="20">
        <f>COUNTIFS(GameStats!C:C,A172,GameStats!B:B,"&gt;="&amp;$Q$1)</f>
        <v>1</v>
      </c>
      <c r="D172" s="22">
        <f t="shared" si="12"/>
        <v>0</v>
      </c>
      <c r="E172" s="31">
        <f>SUMIFS(GameStats!D:D,GameStats!C:C,A172,GameStats!B:B,"&gt;="&amp;$Q$1)/C172</f>
        <v>14</v>
      </c>
      <c r="F172" s="32">
        <f t="shared" si="13"/>
        <v>0.86292834890965731</v>
      </c>
      <c r="G172" s="20">
        <f>COUNTIFS(GameStats!I:I,A172,GameStats!B:B,"&gt;="&amp;$Q$1)</f>
        <v>0</v>
      </c>
      <c r="H172" s="33">
        <f>SUMIFS(GameStats!F:F,GameStats!C:C,A172,GameStats!B:B,"&gt;="&amp;$Q$1)</f>
        <v>277</v>
      </c>
      <c r="I172" s="33">
        <f>SUMIFS(GameStats!G:G,GameStats!C:C,A172,GameStats!B:B,"&gt;="&amp;$Q$1)</f>
        <v>321</v>
      </c>
      <c r="J172" s="33">
        <f t="shared" si="14"/>
        <v>277</v>
      </c>
      <c r="K172" s="33">
        <f t="shared" si="15"/>
        <v>321</v>
      </c>
      <c r="L172" s="32">
        <f t="shared" si="16"/>
        <v>0</v>
      </c>
      <c r="M172" s="29">
        <f>('Elo model'!$E$14*PlayerStats!D81) + ('Elo model'!$F$14*(1/PlayerStats!E81)) + ('Elo model'!$G$14*(PlayerStats!F81/1.75)) + ('Elo model'!$H$14*(PlayerStats!L81/4))</f>
        <v>0.1011981990382438</v>
      </c>
      <c r="N172" s="21">
        <f>_xlfn.MINIFS(GameStats!B:B,GameStats!C:C,A172)</f>
        <v>45016</v>
      </c>
      <c r="O172" s="21">
        <f>_xlfn.MAXIFS(GameStats!B:B,GameStats!C:C,A172)</f>
        <v>45016</v>
      </c>
      <c r="P172" t="b">
        <f t="shared" si="17"/>
        <v>1</v>
      </c>
      <c r="Q172" s="20"/>
    </row>
    <row r="173" spans="1:17" customFormat="1" ht="14.4" x14ac:dyDescent="0.3">
      <c r="A173" s="20" t="str">
        <f>'All Players'!A102</f>
        <v>SABEEE</v>
      </c>
      <c r="B173" s="20">
        <f>COUNTIFS(GameStats!C:C,A173,GameStats!D:D,"1",GameStats!B:B,"&gt;="&amp;$Q$1)</f>
        <v>0</v>
      </c>
      <c r="C173" s="20">
        <f>COUNTIFS(GameStats!C:C,A173,GameStats!B:B,"&gt;="&amp;$Q$1)</f>
        <v>1</v>
      </c>
      <c r="D173" s="22">
        <f t="shared" si="12"/>
        <v>0</v>
      </c>
      <c r="E173" s="31">
        <f>SUMIFS(GameStats!D:D,GameStats!C:C,A173,GameStats!B:B,"&gt;="&amp;$Q$1)/C173</f>
        <v>14</v>
      </c>
      <c r="F173" s="32">
        <f t="shared" si="13"/>
        <v>0.58399999999999996</v>
      </c>
      <c r="G173" s="20">
        <f>COUNTIFS(GameStats!I:I,A173,GameStats!B:B,"&gt;="&amp;$Q$1)</f>
        <v>0</v>
      </c>
      <c r="H173" s="33">
        <f>SUMIFS(GameStats!F:F,GameStats!C:C,A173,GameStats!B:B,"&gt;="&amp;$Q$1)</f>
        <v>73</v>
      </c>
      <c r="I173" s="33">
        <f>SUMIFS(GameStats!G:G,GameStats!C:C,A173,GameStats!B:B,"&gt;="&amp;$Q$1)</f>
        <v>125</v>
      </c>
      <c r="J173" s="33">
        <f t="shared" si="14"/>
        <v>73</v>
      </c>
      <c r="K173" s="33">
        <f t="shared" si="15"/>
        <v>125</v>
      </c>
      <c r="L173" s="32">
        <f t="shared" si="16"/>
        <v>0</v>
      </c>
      <c r="M173" s="29">
        <f>('Elo model'!$E$14*PlayerStats!D102) + ('Elo model'!$F$14*(1/PlayerStats!E102)) + ('Elo model'!$G$14*(PlayerStats!F102/1.75)) + ('Elo model'!$H$14*(PlayerStats!L102/4))</f>
        <v>7.6393669917766291E-2</v>
      </c>
      <c r="N173" s="21">
        <f>_xlfn.MINIFS(GameStats!B:B,GameStats!C:C,A173)</f>
        <v>45030</v>
      </c>
      <c r="O173" s="21">
        <f>_xlfn.MAXIFS(GameStats!B:B,GameStats!C:C,A173)</f>
        <v>45030</v>
      </c>
      <c r="P173" t="b">
        <f t="shared" si="17"/>
        <v>1</v>
      </c>
      <c r="Q173" s="20"/>
    </row>
    <row r="174" spans="1:17" customFormat="1" ht="14.4" x14ac:dyDescent="0.3">
      <c r="A174" s="20" t="str">
        <f>'All Players'!A246</f>
        <v>Kron</v>
      </c>
      <c r="B174" s="20">
        <f>COUNTIFS(GameStats!C:C,A174,GameStats!D:D,"1",GameStats!B:B,"&gt;="&amp;$Q$1)</f>
        <v>0</v>
      </c>
      <c r="C174" s="20">
        <f>COUNTIFS(GameStats!C:C,A174,GameStats!B:B,"&gt;="&amp;$Q$1)</f>
        <v>1</v>
      </c>
      <c r="D174" s="22">
        <f t="shared" si="12"/>
        <v>0</v>
      </c>
      <c r="E174" s="31">
        <f>SUMIFS(GameStats!D:D,GameStats!C:C,A174,GameStats!B:B,"&gt;="&amp;$Q$1)/C174</f>
        <v>14</v>
      </c>
      <c r="F174" s="32">
        <f t="shared" si="13"/>
        <v>0.70370370370370372</v>
      </c>
      <c r="G174" s="20">
        <f>COUNTIFS(GameStats!I:I,A174,GameStats!B:B,"&gt;="&amp;$Q$1)</f>
        <v>0</v>
      </c>
      <c r="H174" s="33">
        <f>SUMIFS(GameStats!F:F,GameStats!C:C,A174,GameStats!B:B,"&gt;="&amp;$Q$1)</f>
        <v>38</v>
      </c>
      <c r="I174" s="33">
        <f>SUMIFS(GameStats!G:G,GameStats!C:C,A174,GameStats!B:B,"&gt;="&amp;$Q$1)</f>
        <v>54</v>
      </c>
      <c r="J174" s="33">
        <f t="shared" si="14"/>
        <v>38</v>
      </c>
      <c r="K174" s="33">
        <f t="shared" si="15"/>
        <v>54</v>
      </c>
      <c r="L174" s="32">
        <f t="shared" si="16"/>
        <v>0</v>
      </c>
      <c r="M174" s="29">
        <f>('Elo model'!$E$14*PlayerStats!D246) + ('Elo model'!$F$14*(1/PlayerStats!E246)) + ('Elo model'!$G$14*(PlayerStats!F246/1.75)) + ('Elo model'!$H$14*(PlayerStats!L246/4))</f>
        <v>8.8330564784053156E-2</v>
      </c>
      <c r="N174" s="21">
        <f>_xlfn.MINIFS(GameStats!B:B,GameStats!C:C,A174)</f>
        <v>45499</v>
      </c>
      <c r="O174" s="21">
        <f>_xlfn.MAXIFS(GameStats!B:B,GameStats!C:C,A174)</f>
        <v>45499</v>
      </c>
      <c r="P174" t="b">
        <f t="shared" si="17"/>
        <v>1</v>
      </c>
    </row>
    <row r="175" spans="1:17" customFormat="1" ht="14.4" x14ac:dyDescent="0.3">
      <c r="A175" s="20" t="str">
        <f>'All Players'!A207</f>
        <v>Recon</v>
      </c>
      <c r="B175" s="20">
        <f>COUNTIFS(GameStats!C:C,A175,GameStats!D:D,"1",GameStats!B:B,"&gt;="&amp;$Q$1)</f>
        <v>0</v>
      </c>
      <c r="C175" s="20">
        <f>COUNTIFS(GameStats!C:C,A175,GameStats!B:B,"&gt;="&amp;$Q$1)</f>
        <v>1</v>
      </c>
      <c r="D175" s="22">
        <f t="shared" si="12"/>
        <v>0</v>
      </c>
      <c r="E175" s="31">
        <f>SUMIFS(GameStats!D:D,GameStats!C:C,A175,GameStats!B:B,"&gt;="&amp;$Q$1)/C175</f>
        <v>15</v>
      </c>
      <c r="F175" s="32">
        <f t="shared" si="13"/>
        <v>0.56097560975609762</v>
      </c>
      <c r="G175" s="20">
        <f>COUNTIFS(GameStats!I:I,A175,GameStats!B:B,"&gt;="&amp;$Q$1)</f>
        <v>0</v>
      </c>
      <c r="H175" s="33">
        <f>SUMIFS(GameStats!F:F,GameStats!C:C,A175,GameStats!B:B,"&gt;="&amp;$Q$1)</f>
        <v>69</v>
      </c>
      <c r="I175" s="33">
        <f>SUMIFS(GameStats!G:G,GameStats!C:C,A175,GameStats!B:B,"&gt;="&amp;$Q$1)</f>
        <v>123</v>
      </c>
      <c r="J175" s="33">
        <f t="shared" si="14"/>
        <v>69</v>
      </c>
      <c r="K175" s="33">
        <f t="shared" si="15"/>
        <v>123</v>
      </c>
      <c r="L175" s="32">
        <f t="shared" si="16"/>
        <v>0</v>
      </c>
      <c r="M175" s="29">
        <f>('Elo model'!$E$14*PlayerStats!D207) + ('Elo model'!$F$14*(1/PlayerStats!E207)) + ('Elo model'!$G$14*(PlayerStats!F207/1.75)) + ('Elo model'!$H$14*(PlayerStats!L207/4))</f>
        <v>5.7081484279104894E-2</v>
      </c>
      <c r="N175" s="21">
        <f>_xlfn.MINIFS(GameStats!B:B,GameStats!C:C,A175)</f>
        <v>45443</v>
      </c>
      <c r="O175" s="21">
        <f>_xlfn.MAXIFS(GameStats!B:B,GameStats!C:C,A175)</f>
        <v>45443</v>
      </c>
      <c r="P175" t="b">
        <f t="shared" si="17"/>
        <v>1</v>
      </c>
    </row>
    <row r="176" spans="1:17" customFormat="1" ht="14.4" x14ac:dyDescent="0.3">
      <c r="A176" s="20" t="str">
        <f>'All Players'!A103</f>
        <v>Saladin</v>
      </c>
      <c r="B176" s="20">
        <f>COUNTIFS(GameStats!C:C,A176,GameStats!D:D,"1",GameStats!B:B,"&gt;="&amp;$Q$1)</f>
        <v>0</v>
      </c>
      <c r="C176" s="20">
        <f>COUNTIFS(GameStats!C:C,A176,GameStats!B:B,"&gt;="&amp;$Q$1)</f>
        <v>1</v>
      </c>
      <c r="D176" s="22">
        <f t="shared" si="12"/>
        <v>0</v>
      </c>
      <c r="E176" s="31">
        <f>SUMIFS(GameStats!D:D,GameStats!C:C,A176,GameStats!B:B,"&gt;="&amp;$Q$1)/C176</f>
        <v>15</v>
      </c>
      <c r="F176" s="32">
        <f t="shared" si="13"/>
        <v>0.69620253164556967</v>
      </c>
      <c r="G176" s="20">
        <f>COUNTIFS(GameStats!I:I,A176,GameStats!B:B,"&gt;="&amp;$Q$1)</f>
        <v>0</v>
      </c>
      <c r="H176" s="33">
        <f>SUMIFS(GameStats!F:F,GameStats!C:C,A176,GameStats!B:B,"&gt;="&amp;$Q$1)</f>
        <v>165</v>
      </c>
      <c r="I176" s="33">
        <f>SUMIFS(GameStats!G:G,GameStats!C:C,A176,GameStats!B:B,"&gt;="&amp;$Q$1)</f>
        <v>237</v>
      </c>
      <c r="J176" s="33">
        <f t="shared" si="14"/>
        <v>165</v>
      </c>
      <c r="K176" s="33">
        <f t="shared" si="15"/>
        <v>237</v>
      </c>
      <c r="L176" s="32">
        <f t="shared" si="16"/>
        <v>0</v>
      </c>
      <c r="M176" s="29">
        <f>('Elo model'!$E$14*PlayerStats!D103) + ('Elo model'!$F$14*(1/PlayerStats!E103)) + ('Elo model'!$G$14*(PlayerStats!F103/1.75)) + ('Elo model'!$H$14*(PlayerStats!L103/4))</f>
        <v>0.10026322086623593</v>
      </c>
      <c r="N176" s="21">
        <f>_xlfn.MINIFS(GameStats!B:B,GameStats!C:C,A176)</f>
        <v>45030</v>
      </c>
      <c r="O176" s="21">
        <f>_xlfn.MAXIFS(GameStats!B:B,GameStats!C:C,A176)</f>
        <v>45030</v>
      </c>
      <c r="P176" t="b">
        <f t="shared" si="17"/>
        <v>1</v>
      </c>
      <c r="Q176" s="20"/>
    </row>
    <row r="177" spans="1:17" customFormat="1" ht="14.4" x14ac:dyDescent="0.3">
      <c r="A177" s="20" t="str">
        <f>'All Players'!A28</f>
        <v>ShimodaJones</v>
      </c>
      <c r="B177" s="20">
        <f>COUNTIFS(GameStats!C:C,A177,GameStats!D:D,"1",GameStats!B:B,"&gt;="&amp;$Q$1)</f>
        <v>0</v>
      </c>
      <c r="C177" s="20">
        <f>COUNTIFS(GameStats!C:C,A177,GameStats!B:B,"&gt;="&amp;$Q$1)</f>
        <v>1</v>
      </c>
      <c r="D177" s="22">
        <f t="shared" si="12"/>
        <v>0</v>
      </c>
      <c r="E177" s="31">
        <f>SUMIFS(GameStats!D:D,GameStats!C:C,A177,GameStats!B:B,"&gt;="&amp;$Q$1)/C177</f>
        <v>15</v>
      </c>
      <c r="F177" s="32">
        <f t="shared" si="13"/>
        <v>0.78306878306878303</v>
      </c>
      <c r="G177" s="20">
        <f>COUNTIFS(GameStats!I:I,A177,GameStats!B:B,"&gt;="&amp;$Q$1)</f>
        <v>0</v>
      </c>
      <c r="H177" s="33">
        <f>SUMIFS(GameStats!F:F,GameStats!C:C,A177,GameStats!B:B,"&gt;="&amp;$Q$1)</f>
        <v>148</v>
      </c>
      <c r="I177" s="33">
        <f>SUMIFS(GameStats!G:G,GameStats!C:C,A177,GameStats!B:B,"&gt;="&amp;$Q$1)</f>
        <v>189</v>
      </c>
      <c r="J177" s="33">
        <f t="shared" si="14"/>
        <v>148</v>
      </c>
      <c r="K177" s="33">
        <f t="shared" si="15"/>
        <v>189</v>
      </c>
      <c r="L177" s="32">
        <f t="shared" si="16"/>
        <v>0</v>
      </c>
      <c r="M177" s="29">
        <f>('Elo model'!$E$14*PlayerStats!D28) + ('Elo model'!$F$14*(1/PlayerStats!E28)) + ('Elo model'!$G$14*PlayerStats!F28) + ('Elo model'!$H$14*(PlayerStats!L28/4))</f>
        <v>0.3517626534412569</v>
      </c>
      <c r="N177" s="21">
        <f>_xlfn.MINIFS(GameStats!B:B,GameStats!C:C,A177)</f>
        <v>44974</v>
      </c>
      <c r="O177" s="21">
        <f>_xlfn.MAXIFS(GameStats!B:B,GameStats!C:C,A177)</f>
        <v>44974</v>
      </c>
      <c r="P177" t="b">
        <f t="shared" si="17"/>
        <v>1</v>
      </c>
      <c r="Q177" s="20"/>
    </row>
    <row r="178" spans="1:17" customFormat="1" ht="14.4" x14ac:dyDescent="0.3">
      <c r="A178" s="20" t="str">
        <f>'All Players'!A54</f>
        <v>Kaov</v>
      </c>
      <c r="B178" s="20">
        <f>COUNTIFS(GameStats!C:C,A178,GameStats!D:D,"1",GameStats!B:B,"&gt;="&amp;$Q$1)</f>
        <v>0</v>
      </c>
      <c r="C178" s="20">
        <f>COUNTIFS(GameStats!C:C,A178,GameStats!B:B,"&gt;="&amp;$Q$1)</f>
        <v>1</v>
      </c>
      <c r="D178" s="22">
        <f t="shared" si="12"/>
        <v>0</v>
      </c>
      <c r="E178" s="31">
        <f>SUMIFS(GameStats!D:D,GameStats!C:C,A178,GameStats!B:B,"&gt;="&amp;$Q$1)/C178</f>
        <v>15</v>
      </c>
      <c r="F178" s="32">
        <f t="shared" si="13"/>
        <v>0.59113300492610843</v>
      </c>
      <c r="G178" s="20">
        <f>COUNTIFS(GameStats!I:I,A178,GameStats!B:B,"&gt;="&amp;$Q$1)</f>
        <v>0</v>
      </c>
      <c r="H178" s="33">
        <f>SUMIFS(GameStats!F:F,GameStats!C:C,A178,GameStats!B:B,"&gt;="&amp;$Q$1)</f>
        <v>120</v>
      </c>
      <c r="I178" s="33">
        <f>SUMIFS(GameStats!G:G,GameStats!C:C,A178,GameStats!B:B,"&gt;="&amp;$Q$1)</f>
        <v>203</v>
      </c>
      <c r="J178" s="33">
        <f t="shared" si="14"/>
        <v>120</v>
      </c>
      <c r="K178" s="33">
        <f t="shared" si="15"/>
        <v>203</v>
      </c>
      <c r="L178" s="32">
        <f t="shared" si="16"/>
        <v>0</v>
      </c>
      <c r="M178" s="29">
        <f>('Elo model'!$E$14*PlayerStats!D54) + ('Elo model'!$F$14*(1/PlayerStats!E54)) + ('Elo model'!$G$14*PlayerStats!F54) + ('Elo model'!$H$14*(PlayerStats!L54/4))</f>
        <v>0.17977698011062732</v>
      </c>
      <c r="N178" s="21">
        <f>_xlfn.MINIFS(GameStats!B:B,GameStats!C:C,A178)</f>
        <v>44995</v>
      </c>
      <c r="O178" s="21">
        <f>_xlfn.MAXIFS(GameStats!B:B,GameStats!C:C,A178)</f>
        <v>44995</v>
      </c>
      <c r="P178" t="b">
        <f t="shared" si="17"/>
        <v>1</v>
      </c>
    </row>
    <row r="179" spans="1:17" customFormat="1" ht="14.4" x14ac:dyDescent="0.3">
      <c r="A179" s="20" t="str">
        <f>'All Players'!A149</f>
        <v>nextlevel019</v>
      </c>
      <c r="B179" s="20">
        <f>COUNTIFS(GameStats!C:C,A179,GameStats!D:D,"1",GameStats!B:B,"&gt;="&amp;$Q$1)</f>
        <v>0</v>
      </c>
      <c r="C179" s="20">
        <f>COUNTIFS(GameStats!C:C,A179,GameStats!B:B,"&gt;="&amp;$Q$1)</f>
        <v>1</v>
      </c>
      <c r="D179" s="22">
        <f t="shared" si="12"/>
        <v>0</v>
      </c>
      <c r="E179" s="31">
        <f>SUMIFS(GameStats!D:D,GameStats!C:C,A179,GameStats!B:B,"&gt;="&amp;$Q$1)/C179</f>
        <v>15</v>
      </c>
      <c r="F179" s="32">
        <f t="shared" si="13"/>
        <v>0.51117318435754189</v>
      </c>
      <c r="G179" s="20">
        <f>COUNTIFS(GameStats!I:I,A179,GameStats!B:B,"&gt;="&amp;$Q$1)</f>
        <v>0</v>
      </c>
      <c r="H179" s="33">
        <f>SUMIFS(GameStats!F:F,GameStats!C:C,A179,GameStats!B:B,"&gt;="&amp;$Q$1)</f>
        <v>183</v>
      </c>
      <c r="I179" s="33">
        <f>SUMIFS(GameStats!G:G,GameStats!C:C,A179,GameStats!B:B,"&gt;="&amp;$Q$1)</f>
        <v>358</v>
      </c>
      <c r="J179" s="33">
        <f t="shared" si="14"/>
        <v>183</v>
      </c>
      <c r="K179" s="33">
        <f t="shared" si="15"/>
        <v>358</v>
      </c>
      <c r="L179" s="32">
        <f t="shared" si="16"/>
        <v>0</v>
      </c>
      <c r="M179" s="29">
        <f>('Elo model'!$E$14*PlayerStats!D149) + ('Elo model'!$F$14*(1/PlayerStats!E149)) + ('Elo model'!$G$14*(PlayerStats!F149/1.75)) + ('Elo model'!$H$14*(PlayerStats!L149/4))</f>
        <v>7.9749948966242962E-2</v>
      </c>
      <c r="N179" s="21">
        <f>_xlfn.MINIFS(GameStats!B:B,GameStats!C:C,A179)</f>
        <v>45387</v>
      </c>
      <c r="O179" s="21">
        <f>_xlfn.MAXIFS(GameStats!B:B,GameStats!C:C,A179)</f>
        <v>45387</v>
      </c>
      <c r="P179" t="b">
        <f t="shared" si="17"/>
        <v>1</v>
      </c>
      <c r="Q179" s="20"/>
    </row>
    <row r="180" spans="1:17" customFormat="1" ht="14.4" x14ac:dyDescent="0.3">
      <c r="A180" s="20" t="str">
        <f>'All Players'!A166</f>
        <v>arkas</v>
      </c>
      <c r="B180" s="20">
        <f>COUNTIFS(GameStats!C:C,A180,GameStats!D:D,"1",GameStats!B:B,"&gt;="&amp;$Q$1)</f>
        <v>0</v>
      </c>
      <c r="C180" s="20">
        <f>COUNTIFS(GameStats!C:C,A180,GameStats!B:B,"&gt;="&amp;$Q$1)</f>
        <v>1</v>
      </c>
      <c r="D180" s="22">
        <f t="shared" si="12"/>
        <v>0</v>
      </c>
      <c r="E180" s="31">
        <f>SUMIFS(GameStats!D:D,GameStats!C:C,A180,GameStats!B:B,"&gt;="&amp;$Q$1)/C180</f>
        <v>15</v>
      </c>
      <c r="F180" s="32">
        <f t="shared" si="13"/>
        <v>0.42857142857142855</v>
      </c>
      <c r="G180" s="20">
        <f>COUNTIFS(GameStats!I:I,A180,GameStats!B:B,"&gt;="&amp;$Q$1)</f>
        <v>0</v>
      </c>
      <c r="H180" s="33">
        <f>SUMIFS(GameStats!F:F,GameStats!C:C,A180,GameStats!B:B,"&gt;="&amp;$Q$1)</f>
        <v>42</v>
      </c>
      <c r="I180" s="33">
        <f>SUMIFS(GameStats!G:G,GameStats!C:C,A180,GameStats!B:B,"&gt;="&amp;$Q$1)</f>
        <v>98</v>
      </c>
      <c r="J180" s="33">
        <f t="shared" si="14"/>
        <v>42</v>
      </c>
      <c r="K180" s="33">
        <f t="shared" si="15"/>
        <v>98</v>
      </c>
      <c r="L180" s="32">
        <f t="shared" si="16"/>
        <v>0</v>
      </c>
      <c r="M180" s="29">
        <f>('Elo model'!$E$14*PlayerStats!D166) + ('Elo model'!$F$14*(1/PlayerStats!E166)) + ('Elo model'!$G$14*(PlayerStats!F166/1.75)) + ('Elo model'!$H$14*(PlayerStats!L166/4))</f>
        <v>0.10417285417285416</v>
      </c>
      <c r="N180" s="21">
        <f>_xlfn.MINIFS(GameStats!B:B,GameStats!C:C,A180)</f>
        <v>45401</v>
      </c>
      <c r="O180" s="21">
        <f>_xlfn.MAXIFS(GameStats!B:B,GameStats!C:C,A180)</f>
        <v>45401</v>
      </c>
      <c r="P180" t="b">
        <f t="shared" si="17"/>
        <v>1</v>
      </c>
      <c r="Q180" s="20"/>
    </row>
    <row r="181" spans="1:17" customFormat="1" ht="14.4" x14ac:dyDescent="0.3">
      <c r="A181" s="20" t="str">
        <f>'All Players'!A135</f>
        <v>filthyhippy</v>
      </c>
      <c r="B181" s="20">
        <f>COUNTIFS(GameStats!C:C,A181,GameStats!D:D,"1",GameStats!B:B,"&gt;="&amp;$Q$1)</f>
        <v>0</v>
      </c>
      <c r="C181" s="20">
        <f>COUNTIFS(GameStats!C:C,A181,GameStats!B:B,"&gt;="&amp;$Q$1)</f>
        <v>1</v>
      </c>
      <c r="D181" s="22">
        <f t="shared" si="12"/>
        <v>0</v>
      </c>
      <c r="E181" s="31">
        <f>SUMIFS(GameStats!D:D,GameStats!C:C,A181,GameStats!B:B,"&gt;="&amp;$Q$1)/C181</f>
        <v>15</v>
      </c>
      <c r="F181" s="32">
        <f t="shared" si="13"/>
        <v>0.66</v>
      </c>
      <c r="G181" s="20">
        <f>COUNTIFS(GameStats!I:I,A181,GameStats!B:B,"&gt;="&amp;$Q$1)</f>
        <v>0</v>
      </c>
      <c r="H181" s="33">
        <f>SUMIFS(GameStats!F:F,GameStats!C:C,A181,GameStats!B:B,"&gt;="&amp;$Q$1)</f>
        <v>66</v>
      </c>
      <c r="I181" s="33">
        <f>SUMIFS(GameStats!G:G,GameStats!C:C,A181,GameStats!B:B,"&gt;="&amp;$Q$1)</f>
        <v>100</v>
      </c>
      <c r="J181" s="33">
        <f t="shared" si="14"/>
        <v>66</v>
      </c>
      <c r="K181" s="33">
        <f t="shared" si="15"/>
        <v>100</v>
      </c>
      <c r="L181" s="32">
        <f t="shared" si="16"/>
        <v>0</v>
      </c>
      <c r="M181" s="29">
        <f>('Elo model'!$E$14*PlayerStats!D135) + ('Elo model'!$F$14*(1/PlayerStats!E135)) + ('Elo model'!$G$14*(PlayerStats!F135/1.75)) + ('Elo model'!$H$14*(PlayerStats!L135/4))</f>
        <v>0.13047969187675071</v>
      </c>
      <c r="N181" s="21">
        <f>_xlfn.MINIFS(GameStats!B:B,GameStats!C:C,A181)</f>
        <v>45373</v>
      </c>
      <c r="O181" s="21">
        <f>_xlfn.MAXIFS(GameStats!B:B,GameStats!C:C,A181)</f>
        <v>45373</v>
      </c>
      <c r="P181" t="b">
        <f t="shared" si="17"/>
        <v>1</v>
      </c>
    </row>
    <row r="182" spans="1:17" customFormat="1" ht="14.4" x14ac:dyDescent="0.3">
      <c r="A182" s="20" t="str">
        <f>'All Players'!A65</f>
        <v>Aya</v>
      </c>
      <c r="B182" s="20">
        <f>COUNTIFS(GameStats!C:C,A182,GameStats!D:D,"1",GameStats!B:B,"&gt;="&amp;$Q$1)</f>
        <v>0</v>
      </c>
      <c r="C182" s="20">
        <f>COUNTIFS(GameStats!C:C,A182,GameStats!B:B,"&gt;="&amp;$Q$1)</f>
        <v>1</v>
      </c>
      <c r="D182" s="22">
        <f t="shared" si="12"/>
        <v>0</v>
      </c>
      <c r="E182" s="31">
        <f>SUMIFS(GameStats!D:D,GameStats!C:C,A182,GameStats!B:B,"&gt;="&amp;$Q$1)/C182</f>
        <v>15</v>
      </c>
      <c r="F182" s="32">
        <f t="shared" si="13"/>
        <v>0.74657534246575341</v>
      </c>
      <c r="G182" s="20">
        <f>COUNTIFS(GameStats!I:I,A182,GameStats!B:B,"&gt;="&amp;$Q$1)</f>
        <v>0</v>
      </c>
      <c r="H182" s="33">
        <f>SUMIFS(GameStats!F:F,GameStats!C:C,A182,GameStats!B:B,"&gt;="&amp;$Q$1)</f>
        <v>109</v>
      </c>
      <c r="I182" s="33">
        <f>SUMIFS(GameStats!G:G,GameStats!C:C,A182,GameStats!B:B,"&gt;="&amp;$Q$1)</f>
        <v>146</v>
      </c>
      <c r="J182" s="33">
        <f t="shared" si="14"/>
        <v>109</v>
      </c>
      <c r="K182" s="33">
        <f t="shared" si="15"/>
        <v>146</v>
      </c>
      <c r="L182" s="32">
        <f t="shared" si="16"/>
        <v>0</v>
      </c>
      <c r="M182" s="29">
        <f>('Elo model'!$E$14*PlayerStats!D65) + ('Elo model'!$F$14*(1/PlayerStats!E65)) + ('Elo model'!$G$14*(PlayerStats!F65/1.75)) + ('Elo model'!$H$14*(PlayerStats!L65/4))</f>
        <v>8.0205858330858332E-2</v>
      </c>
      <c r="N182" s="21">
        <f>_xlfn.MINIFS(GameStats!B:B,GameStats!C:C,A182)</f>
        <v>45009</v>
      </c>
      <c r="O182" s="21">
        <f>_xlfn.MAXIFS(GameStats!B:B,GameStats!C:C,A182)</f>
        <v>45009</v>
      </c>
      <c r="P182" t="b">
        <f t="shared" si="17"/>
        <v>1</v>
      </c>
      <c r="Q182" s="20"/>
    </row>
    <row r="183" spans="1:17" customFormat="1" ht="14.4" x14ac:dyDescent="0.3">
      <c r="A183" s="20" t="str">
        <f>'All Players'!A187</f>
        <v>Boxmuncher</v>
      </c>
      <c r="B183" s="20">
        <f>COUNTIFS(GameStats!C:C,A183,GameStats!D:D,"1",GameStats!B:B,"&gt;="&amp;$Q$1)</f>
        <v>0</v>
      </c>
      <c r="C183" s="20">
        <f>COUNTIFS(GameStats!C:C,A183,GameStats!B:B,"&gt;="&amp;$Q$1)</f>
        <v>1</v>
      </c>
      <c r="D183" s="22">
        <f t="shared" si="12"/>
        <v>0</v>
      </c>
      <c r="E183" s="31">
        <f>SUMIFS(GameStats!D:D,GameStats!C:C,A183,GameStats!B:B,"&gt;="&amp;$Q$1)/C183</f>
        <v>15</v>
      </c>
      <c r="F183" s="32">
        <f t="shared" si="13"/>
        <v>0.75</v>
      </c>
      <c r="G183" s="20">
        <f>COUNTIFS(GameStats!I:I,A183,GameStats!B:B,"&gt;="&amp;$Q$1)</f>
        <v>0</v>
      </c>
      <c r="H183" s="33">
        <f>SUMIFS(GameStats!F:F,GameStats!C:C,A183,GameStats!B:B,"&gt;="&amp;$Q$1)</f>
        <v>18</v>
      </c>
      <c r="I183" s="33">
        <f>SUMIFS(GameStats!G:G,GameStats!C:C,A183,GameStats!B:B,"&gt;="&amp;$Q$1)</f>
        <v>24</v>
      </c>
      <c r="J183" s="33">
        <f t="shared" si="14"/>
        <v>18</v>
      </c>
      <c r="K183" s="33">
        <f t="shared" si="15"/>
        <v>24</v>
      </c>
      <c r="L183" s="32">
        <f t="shared" si="16"/>
        <v>0</v>
      </c>
      <c r="M183" s="29">
        <f>('Elo model'!$E$14*PlayerStats!D187) + ('Elo model'!$F$14*(1/PlayerStats!E187)) + ('Elo model'!$G$14*(PlayerStats!F187/1.75)) + ('Elo model'!$H$14*(PlayerStats!L187/4))</f>
        <v>9.8909423909423921E-2</v>
      </c>
      <c r="N183" s="21">
        <f>_xlfn.MINIFS(GameStats!B:B,GameStats!C:C,A183)</f>
        <v>45422</v>
      </c>
      <c r="O183" s="21">
        <f>_xlfn.MAXIFS(GameStats!B:B,GameStats!C:C,A183)</f>
        <v>45422</v>
      </c>
      <c r="P183" t="b">
        <f t="shared" si="17"/>
        <v>1</v>
      </c>
    </row>
    <row r="184" spans="1:17" customFormat="1" ht="14.4" x14ac:dyDescent="0.3">
      <c r="A184" s="20" t="str">
        <f>'All Players'!A110</f>
        <v>CivPunisher</v>
      </c>
      <c r="B184" s="20">
        <f>COUNTIFS(GameStats!C:C,A184,GameStats!D:D,"1",GameStats!B:B,"&gt;="&amp;$Q$1)</f>
        <v>0</v>
      </c>
      <c r="C184" s="20">
        <f>COUNTIFS(GameStats!C:C,A184,GameStats!B:B,"&gt;="&amp;$Q$1)</f>
        <v>1</v>
      </c>
      <c r="D184" s="22">
        <f t="shared" si="12"/>
        <v>0</v>
      </c>
      <c r="E184" s="31">
        <f>SUMIFS(GameStats!D:D,GameStats!C:C,A184,GameStats!B:B,"&gt;="&amp;$Q$1)/C184</f>
        <v>15</v>
      </c>
      <c r="F184" s="32">
        <f t="shared" si="13"/>
        <v>0.56140350877192979</v>
      </c>
      <c r="G184" s="20">
        <f>COUNTIFS(GameStats!I:I,A184,GameStats!B:B,"&gt;="&amp;$Q$1)</f>
        <v>0</v>
      </c>
      <c r="H184" s="33">
        <f>SUMIFS(GameStats!F:F,GameStats!C:C,A184,GameStats!B:B,"&gt;="&amp;$Q$1)</f>
        <v>32</v>
      </c>
      <c r="I184" s="33">
        <f>SUMIFS(GameStats!G:G,GameStats!C:C,A184,GameStats!B:B,"&gt;="&amp;$Q$1)</f>
        <v>57</v>
      </c>
      <c r="J184" s="33">
        <f t="shared" si="14"/>
        <v>32</v>
      </c>
      <c r="K184" s="33">
        <f t="shared" si="15"/>
        <v>57</v>
      </c>
      <c r="L184" s="32">
        <f t="shared" si="16"/>
        <v>0</v>
      </c>
      <c r="M184" s="29">
        <f>('Elo model'!$E$14*PlayerStats!D110) + ('Elo model'!$F$14*(1/PlayerStats!E110)) + ('Elo model'!$G$14*(PlayerStats!F110/1.75)) + ('Elo model'!$H$14*(PlayerStats!L110/4))</f>
        <v>9.5920745920745912E-2</v>
      </c>
      <c r="N184" s="21">
        <f>_xlfn.MINIFS(GameStats!B:B,GameStats!C:C,A184)</f>
        <v>45037</v>
      </c>
      <c r="O184" s="21">
        <f>_xlfn.MAXIFS(GameStats!B:B,GameStats!C:C,A184)</f>
        <v>45037</v>
      </c>
      <c r="P184" t="b">
        <f t="shared" si="17"/>
        <v>1</v>
      </c>
      <c r="Q184" s="20"/>
    </row>
    <row r="185" spans="1:17" customFormat="1" ht="14.4" x14ac:dyDescent="0.3">
      <c r="A185" s="20" t="str">
        <f>'All Players'!A241</f>
        <v>Sylvos</v>
      </c>
      <c r="B185" s="20">
        <f>COUNTIFS(GameStats!C:C,A185,GameStats!D:D,"1",GameStats!B:B,"&gt;="&amp;$Q$1)</f>
        <v>0</v>
      </c>
      <c r="C185" s="20">
        <f>COUNTIFS(GameStats!C:C,A185,GameStats!B:B,"&gt;="&amp;$Q$1)</f>
        <v>1</v>
      </c>
      <c r="D185" s="22">
        <f t="shared" si="12"/>
        <v>0</v>
      </c>
      <c r="E185" s="31">
        <f>SUMIFS(GameStats!D:D,GameStats!C:C,A185,GameStats!B:B,"&gt;="&amp;$Q$1)/C185</f>
        <v>15</v>
      </c>
      <c r="F185" s="32">
        <f t="shared" si="13"/>
        <v>0.45731707317073172</v>
      </c>
      <c r="G185" s="20">
        <f>COUNTIFS(GameStats!I:I,A185,GameStats!B:B,"&gt;="&amp;$Q$1)</f>
        <v>0</v>
      </c>
      <c r="H185" s="33">
        <f>SUMIFS(GameStats!F:F,GameStats!C:C,A185,GameStats!B:B,"&gt;="&amp;$Q$1)</f>
        <v>75</v>
      </c>
      <c r="I185" s="33">
        <f>SUMIFS(GameStats!G:G,GameStats!C:C,A185,GameStats!B:B,"&gt;="&amp;$Q$1)</f>
        <v>164</v>
      </c>
      <c r="J185" s="33">
        <f t="shared" si="14"/>
        <v>75</v>
      </c>
      <c r="K185" s="33">
        <f t="shared" si="15"/>
        <v>164</v>
      </c>
      <c r="L185" s="32">
        <f t="shared" si="16"/>
        <v>0</v>
      </c>
      <c r="M185" s="29">
        <f>('Elo model'!$E$14*PlayerStats!D241) + ('Elo model'!$F$14*(1/PlayerStats!E241)) + ('Elo model'!$G$14*(PlayerStats!F241/1.75)) + ('Elo model'!$H$14*(PlayerStats!L241/4))</f>
        <v>6.9642857142857131E-2</v>
      </c>
      <c r="N185" s="21">
        <f>_xlfn.MINIFS(GameStats!B:B,GameStats!C:C,A185)</f>
        <v>45492</v>
      </c>
      <c r="O185" s="21">
        <f>_xlfn.MAXIFS(GameStats!B:B,GameStats!C:C,A185)</f>
        <v>45492</v>
      </c>
      <c r="P185" t="b">
        <f t="shared" si="17"/>
        <v>1</v>
      </c>
    </row>
    <row r="186" spans="1:17" customFormat="1" ht="14.4" x14ac:dyDescent="0.3">
      <c r="A186" s="20" t="str">
        <f>'All Players'!A247</f>
        <v>tbatch</v>
      </c>
      <c r="B186" s="20">
        <f>COUNTIFS(GameStats!C:C,A186,GameStats!D:D,"1",GameStats!B:B,"&gt;="&amp;$Q$1)</f>
        <v>0</v>
      </c>
      <c r="C186" s="20">
        <f>COUNTIFS(GameStats!C:C,A186,GameStats!B:B,"&gt;="&amp;$Q$1)</f>
        <v>1</v>
      </c>
      <c r="D186" s="22">
        <f t="shared" si="12"/>
        <v>0</v>
      </c>
      <c r="E186" s="31">
        <f>SUMIFS(GameStats!D:D,GameStats!C:C,A186,GameStats!B:B,"&gt;="&amp;$Q$1)/C186</f>
        <v>15</v>
      </c>
      <c r="F186" s="32">
        <f t="shared" si="13"/>
        <v>0.87951807228915657</v>
      </c>
      <c r="G186" s="20">
        <f>COUNTIFS(GameStats!I:I,A186,GameStats!B:B,"&gt;="&amp;$Q$1)</f>
        <v>0</v>
      </c>
      <c r="H186" s="33">
        <f>SUMIFS(GameStats!F:F,GameStats!C:C,A186,GameStats!B:B,"&gt;="&amp;$Q$1)</f>
        <v>73</v>
      </c>
      <c r="I186" s="33">
        <f>SUMIFS(GameStats!G:G,GameStats!C:C,A186,GameStats!B:B,"&gt;="&amp;$Q$1)</f>
        <v>83</v>
      </c>
      <c r="J186" s="33">
        <f t="shared" si="14"/>
        <v>73</v>
      </c>
      <c r="K186" s="33">
        <f t="shared" si="15"/>
        <v>83</v>
      </c>
      <c r="L186" s="32">
        <f t="shared" si="16"/>
        <v>0</v>
      </c>
      <c r="M186" s="29">
        <f>('Elo model'!$E$14*PlayerStats!D247) + ('Elo model'!$F$14*(1/PlayerStats!E247)) + ('Elo model'!$G$14*(PlayerStats!F247/1.75)) + ('Elo model'!$H$14*(PlayerStats!L247/4))</f>
        <v>6.8214285714285713E-2</v>
      </c>
      <c r="N186" s="21">
        <f>_xlfn.MINIFS(GameStats!B:B,GameStats!C:C,A186)</f>
        <v>45499</v>
      </c>
      <c r="O186" s="21">
        <f>_xlfn.MAXIFS(GameStats!B:B,GameStats!C:C,A186)</f>
        <v>45499</v>
      </c>
      <c r="P186" t="b">
        <f t="shared" si="17"/>
        <v>1</v>
      </c>
    </row>
    <row r="187" spans="1:17" customFormat="1" ht="14.4" x14ac:dyDescent="0.3">
      <c r="A187" s="20" t="str">
        <f>'All Players'!A262</f>
        <v>Slime</v>
      </c>
      <c r="B187" s="20">
        <f>COUNTIFS(GameStats!C:C,A187,GameStats!D:D,"1",GameStats!B:B,"&gt;="&amp;$Q$1)</f>
        <v>0</v>
      </c>
      <c r="C187" s="20">
        <f>COUNTIFS(GameStats!C:C,A187,GameStats!B:B,"&gt;="&amp;$Q$1)</f>
        <v>1</v>
      </c>
      <c r="D187" s="22">
        <f t="shared" si="12"/>
        <v>0</v>
      </c>
      <c r="E187" s="31">
        <f>SUMIFS(GameStats!D:D,GameStats!C:C,A187,GameStats!B:B,"&gt;="&amp;$Q$1)/C187</f>
        <v>15</v>
      </c>
      <c r="F187" s="32">
        <f t="shared" si="13"/>
        <v>0.66783216783216781</v>
      </c>
      <c r="G187" s="20">
        <f>COUNTIFS(GameStats!I:I,A187,GameStats!B:B,"&gt;="&amp;$Q$1)</f>
        <v>1</v>
      </c>
      <c r="H187" s="33">
        <f>SUMIFS(GameStats!F:F,GameStats!C:C,A187,GameStats!B:B,"&gt;="&amp;$Q$1)</f>
        <v>191</v>
      </c>
      <c r="I187" s="33">
        <f>SUMIFS(GameStats!G:G,GameStats!C:C,A187,GameStats!B:B,"&gt;="&amp;$Q$1)</f>
        <v>286</v>
      </c>
      <c r="J187" s="33">
        <f t="shared" si="14"/>
        <v>191</v>
      </c>
      <c r="K187" s="33">
        <f t="shared" si="15"/>
        <v>286</v>
      </c>
      <c r="L187" s="32">
        <f t="shared" si="16"/>
        <v>1</v>
      </c>
      <c r="M187" s="29">
        <f>('Elo model'!$E$14*PlayerStats!D262) + ('Elo model'!$F$14*(1/PlayerStats!E262)) + ('Elo model'!$G$14*(PlayerStats!F262/1.75)) + ('Elo model'!$H$14*(PlayerStats!L262/4))</f>
        <v>4.7308488612836437E-2</v>
      </c>
      <c r="N187" s="21">
        <f>_xlfn.MINIFS(GameStats!B:B,GameStats!C:C,A187)</f>
        <v>45520</v>
      </c>
      <c r="O187" s="21">
        <f>_xlfn.MAXIFS(GameStats!B:B,GameStats!C:C,A187)</f>
        <v>45520</v>
      </c>
      <c r="P187" t="b">
        <f t="shared" si="17"/>
        <v>1</v>
      </c>
    </row>
    <row r="188" spans="1:17" customFormat="1" ht="14.4" x14ac:dyDescent="0.3">
      <c r="A188" s="20" t="str">
        <f>'All Players'!A266</f>
        <v>MrDrStef</v>
      </c>
      <c r="B188" s="20">
        <f>COUNTIFS(GameStats!C:C,A188,GameStats!D:D,"1",GameStats!B:B,"&gt;="&amp;$Q$1)</f>
        <v>0</v>
      </c>
      <c r="C188" s="20">
        <f>COUNTIFS(GameStats!C:C,A188,GameStats!B:B,"&gt;="&amp;$Q$1)</f>
        <v>1</v>
      </c>
      <c r="D188" s="22">
        <f t="shared" si="12"/>
        <v>0</v>
      </c>
      <c r="E188" s="31">
        <f>SUMIFS(GameStats!D:D,GameStats!C:C,A188,GameStats!B:B,"&gt;="&amp;$Q$1)/C188</f>
        <v>15</v>
      </c>
      <c r="F188" s="32">
        <f t="shared" si="13"/>
        <v>1.0478589420654911</v>
      </c>
      <c r="G188" s="20">
        <f>COUNTIFS(GameStats!I:I,A188,GameStats!B:B,"&gt;="&amp;$Q$1)</f>
        <v>3</v>
      </c>
      <c r="H188" s="33">
        <f>SUMIFS(GameStats!F:F,GameStats!C:C,A188,GameStats!B:B,"&gt;="&amp;$Q$1)</f>
        <v>416</v>
      </c>
      <c r="I188" s="33">
        <f>SUMIFS(GameStats!G:G,GameStats!C:C,A188,GameStats!B:B,"&gt;="&amp;$Q$1)</f>
        <v>397</v>
      </c>
      <c r="J188" s="33">
        <f t="shared" si="14"/>
        <v>416</v>
      </c>
      <c r="K188" s="33">
        <f t="shared" si="15"/>
        <v>397</v>
      </c>
      <c r="L188" s="32">
        <f t="shared" si="16"/>
        <v>3</v>
      </c>
      <c r="M188" s="29">
        <f>('Elo model'!$E$14*PlayerStats!D266) + ('Elo model'!$F$14*(1/PlayerStats!E266)) + ('Elo model'!$G$14*(PlayerStats!F266/1.75)) + ('Elo model'!$H$14*(PlayerStats!L266/4))</f>
        <v>4.9458874458874452E-2</v>
      </c>
      <c r="N188" s="21">
        <f>_xlfn.MINIFS(GameStats!B:B,GameStats!C:C,A188)</f>
        <v>45527</v>
      </c>
      <c r="O188" s="21">
        <f>_xlfn.MAXIFS(GameStats!B:B,GameStats!C:C,A188)</f>
        <v>45527</v>
      </c>
      <c r="P188" t="b">
        <f t="shared" si="17"/>
        <v>1</v>
      </c>
    </row>
    <row r="189" spans="1:17" customFormat="1" ht="14.4" x14ac:dyDescent="0.3">
      <c r="A189" s="20" t="str">
        <f>'All Players'!A208</f>
        <v>buntownik</v>
      </c>
      <c r="B189" s="20">
        <f>COUNTIFS(GameStats!C:C,A189,GameStats!D:D,"1",GameStats!B:B,"&gt;="&amp;$Q$1)</f>
        <v>0</v>
      </c>
      <c r="C189" s="20">
        <f>COUNTIFS(GameStats!C:C,A189,GameStats!B:B,"&gt;="&amp;$Q$1)</f>
        <v>1</v>
      </c>
      <c r="D189" s="22">
        <f t="shared" si="12"/>
        <v>0</v>
      </c>
      <c r="E189" s="31">
        <f>SUMIFS(GameStats!D:D,GameStats!C:C,A189,GameStats!B:B,"&gt;="&amp;$Q$1)/C189</f>
        <v>16</v>
      </c>
      <c r="F189" s="32">
        <f t="shared" si="13"/>
        <v>0.49090909090909091</v>
      </c>
      <c r="G189" s="20">
        <f>COUNTIFS(GameStats!I:I,A189,GameStats!B:B,"&gt;="&amp;$Q$1)</f>
        <v>0</v>
      </c>
      <c r="H189" s="33">
        <f>SUMIFS(GameStats!F:F,GameStats!C:C,A189,GameStats!B:B,"&gt;="&amp;$Q$1)</f>
        <v>27</v>
      </c>
      <c r="I189" s="33">
        <f>SUMIFS(GameStats!G:G,GameStats!C:C,A189,GameStats!B:B,"&gt;="&amp;$Q$1)</f>
        <v>55</v>
      </c>
      <c r="J189" s="33">
        <f t="shared" si="14"/>
        <v>27</v>
      </c>
      <c r="K189" s="33">
        <f t="shared" si="15"/>
        <v>55</v>
      </c>
      <c r="L189" s="32">
        <f t="shared" si="16"/>
        <v>0</v>
      </c>
      <c r="M189" s="29">
        <f>('Elo model'!$E$14*PlayerStats!D208) + ('Elo model'!$F$14*(1/PlayerStats!E208)) + ('Elo model'!$G$14*(PlayerStats!F208/1.75)) + ('Elo model'!$H$14*(PlayerStats!L208/4))</f>
        <v>0.1257129081140653</v>
      </c>
      <c r="N189" s="21">
        <f>_xlfn.MINIFS(GameStats!B:B,GameStats!C:C,A189)</f>
        <v>45443</v>
      </c>
      <c r="O189" s="21">
        <f>_xlfn.MAXIFS(GameStats!B:B,GameStats!C:C,A189)</f>
        <v>45443</v>
      </c>
      <c r="P189" t="b">
        <f t="shared" si="17"/>
        <v>1</v>
      </c>
    </row>
    <row r="190" spans="1:17" customFormat="1" ht="14.4" x14ac:dyDescent="0.3">
      <c r="A190" s="20" t="str">
        <f>'All Players'!A29</f>
        <v>baboonboy</v>
      </c>
      <c r="B190" s="20">
        <f>COUNTIFS(GameStats!C:C,A190,GameStats!D:D,"1",GameStats!B:B,"&gt;="&amp;$Q$1)</f>
        <v>0</v>
      </c>
      <c r="C190" s="20">
        <f>COUNTIFS(GameStats!C:C,A190,GameStats!B:B,"&gt;="&amp;$Q$1)</f>
        <v>1</v>
      </c>
      <c r="D190" s="22">
        <f t="shared" si="12"/>
        <v>0</v>
      </c>
      <c r="E190" s="31">
        <f>SUMIFS(GameStats!D:D,GameStats!C:C,A190,GameStats!B:B,"&gt;="&amp;$Q$1)/C190</f>
        <v>16</v>
      </c>
      <c r="F190" s="32">
        <f t="shared" si="13"/>
        <v>0.70277777777777772</v>
      </c>
      <c r="G190" s="20">
        <f>COUNTIFS(GameStats!I:I,A190,GameStats!B:B,"&gt;="&amp;$Q$1)</f>
        <v>0</v>
      </c>
      <c r="H190" s="33">
        <f>SUMIFS(GameStats!F:F,GameStats!C:C,A190,GameStats!B:B,"&gt;="&amp;$Q$1)</f>
        <v>253</v>
      </c>
      <c r="I190" s="33">
        <f>SUMIFS(GameStats!G:G,GameStats!C:C,A190,GameStats!B:B,"&gt;="&amp;$Q$1)</f>
        <v>360</v>
      </c>
      <c r="J190" s="33">
        <f t="shared" si="14"/>
        <v>253</v>
      </c>
      <c r="K190" s="33">
        <f t="shared" si="15"/>
        <v>360</v>
      </c>
      <c r="L190" s="32">
        <f t="shared" si="16"/>
        <v>0</v>
      </c>
      <c r="M190" s="29">
        <f>('Elo model'!$E$14*PlayerStats!D29) + ('Elo model'!$F$14*(1/PlayerStats!E29)) + ('Elo model'!$G$14*PlayerStats!F29) + ('Elo model'!$H$14*(PlayerStats!L29/4))</f>
        <v>0.14318573300737658</v>
      </c>
      <c r="N190" s="21">
        <f>_xlfn.MINIFS(GameStats!B:B,GameStats!C:C,A190)</f>
        <v>44974</v>
      </c>
      <c r="O190" s="21">
        <f>_xlfn.MAXIFS(GameStats!B:B,GameStats!C:C,A190)</f>
        <v>44974</v>
      </c>
      <c r="P190" t="b">
        <f t="shared" si="17"/>
        <v>1</v>
      </c>
      <c r="Q190" s="20"/>
    </row>
    <row r="191" spans="1:17" customFormat="1" ht="14.4" x14ac:dyDescent="0.3">
      <c r="A191" s="20" t="str">
        <f>'All Players'!A59</f>
        <v>Dernos</v>
      </c>
      <c r="B191" s="20">
        <f>COUNTIFS(GameStats!C:C,A191,GameStats!D:D,"1",GameStats!B:B,"&gt;="&amp;$Q$1)</f>
        <v>0</v>
      </c>
      <c r="C191" s="20">
        <f>COUNTIFS(GameStats!C:C,A191,GameStats!B:B,"&gt;="&amp;$Q$1)</f>
        <v>1</v>
      </c>
      <c r="D191" s="22">
        <f t="shared" si="12"/>
        <v>0</v>
      </c>
      <c r="E191" s="31">
        <f>SUMIFS(GameStats!D:D,GameStats!C:C,A191,GameStats!B:B,"&gt;="&amp;$Q$1)/C191</f>
        <v>16</v>
      </c>
      <c r="F191" s="32">
        <f t="shared" si="13"/>
        <v>0.71653543307086609</v>
      </c>
      <c r="G191" s="20">
        <f>COUNTIFS(GameStats!I:I,A191,GameStats!B:B,"&gt;="&amp;$Q$1)</f>
        <v>0</v>
      </c>
      <c r="H191" s="33">
        <f>SUMIFS(GameStats!F:F,GameStats!C:C,A191,GameStats!B:B,"&gt;="&amp;$Q$1)</f>
        <v>91</v>
      </c>
      <c r="I191" s="33">
        <f>SUMIFS(GameStats!G:G,GameStats!C:C,A191,GameStats!B:B,"&gt;="&amp;$Q$1)</f>
        <v>127</v>
      </c>
      <c r="J191" s="33">
        <f t="shared" si="14"/>
        <v>91</v>
      </c>
      <c r="K191" s="33">
        <f t="shared" si="15"/>
        <v>127</v>
      </c>
      <c r="L191" s="32">
        <f t="shared" si="16"/>
        <v>0</v>
      </c>
      <c r="M191" s="29">
        <f>('Elo model'!$E$14*PlayerStats!D59) + ('Elo model'!$F$14*(1/PlayerStats!E59)) + ('Elo model'!$G$14*(PlayerStats!F59/1.75)) + ('Elo model'!$H$14*(PlayerStats!L59/4))</f>
        <v>0.27873011642467932</v>
      </c>
      <c r="N191" s="21">
        <f>_xlfn.MINIFS(GameStats!B:B,GameStats!C:C,A191)</f>
        <v>45002</v>
      </c>
      <c r="O191" s="21">
        <f>_xlfn.MAXIFS(GameStats!B:B,GameStats!C:C,A191)</f>
        <v>45002</v>
      </c>
      <c r="P191" t="b">
        <f t="shared" si="17"/>
        <v>1</v>
      </c>
    </row>
    <row r="192" spans="1:17" customFormat="1" ht="14.4" x14ac:dyDescent="0.3">
      <c r="A192" s="20" t="str">
        <f>'All Players'!A127</f>
        <v>nitsche</v>
      </c>
      <c r="B192" s="20">
        <f>COUNTIFS(GameStats!C:C,A192,GameStats!D:D,"1",GameStats!B:B,"&gt;="&amp;$Q$1)</f>
        <v>0</v>
      </c>
      <c r="C192" s="20">
        <f>COUNTIFS(GameStats!C:C,A192,GameStats!B:B,"&gt;="&amp;$Q$1)</f>
        <v>1</v>
      </c>
      <c r="D192" s="22">
        <f t="shared" si="12"/>
        <v>0</v>
      </c>
      <c r="E192" s="31">
        <f>SUMIFS(GameStats!D:D,GameStats!C:C,A192,GameStats!B:B,"&gt;="&amp;$Q$1)/C192</f>
        <v>16</v>
      </c>
      <c r="F192" s="32">
        <f t="shared" si="13"/>
        <v>0.83508771929824566</v>
      </c>
      <c r="G192" s="20">
        <f>COUNTIFS(GameStats!I:I,A192,GameStats!B:B,"&gt;="&amp;$Q$1)</f>
        <v>0</v>
      </c>
      <c r="H192" s="33">
        <f>SUMIFS(GameStats!F:F,GameStats!C:C,A192,GameStats!B:B,"&gt;="&amp;$Q$1)</f>
        <v>238</v>
      </c>
      <c r="I192" s="33">
        <f>SUMIFS(GameStats!G:G,GameStats!C:C,A192,GameStats!B:B,"&gt;="&amp;$Q$1)</f>
        <v>285</v>
      </c>
      <c r="J192" s="33">
        <f t="shared" si="14"/>
        <v>238</v>
      </c>
      <c r="K192" s="33">
        <f t="shared" si="15"/>
        <v>285</v>
      </c>
      <c r="L192" s="32">
        <f t="shared" si="16"/>
        <v>0</v>
      </c>
      <c r="M192" s="29">
        <f>('Elo model'!$E$14*PlayerStats!D127) + ('Elo model'!$F$14*(1/PlayerStats!E127)) + ('Elo model'!$G$14*(PlayerStats!F127/1.75)) + ('Elo model'!$H$14*(PlayerStats!L127/4))</f>
        <v>7.7794438386041442E-2</v>
      </c>
      <c r="N192" s="21">
        <f>_xlfn.MINIFS(GameStats!B:B,GameStats!C:C,A192)</f>
        <v>45366</v>
      </c>
      <c r="O192" s="21">
        <f>_xlfn.MAXIFS(GameStats!B:B,GameStats!C:C,A192)</f>
        <v>45366</v>
      </c>
      <c r="P192" t="b">
        <f t="shared" si="17"/>
        <v>1</v>
      </c>
    </row>
    <row r="193" spans="1:17" customFormat="1" ht="14.4" x14ac:dyDescent="0.3">
      <c r="A193" s="20" t="str">
        <f>'All Players'!A226</f>
        <v>Scrimshaw</v>
      </c>
      <c r="B193" s="20">
        <f>COUNTIFS(GameStats!C:C,A193,GameStats!D:D,"1",GameStats!B:B,"&gt;="&amp;$Q$1)</f>
        <v>0</v>
      </c>
      <c r="C193" s="20">
        <f>COUNTIFS(GameStats!C:C,A193,GameStats!B:B,"&gt;="&amp;$Q$1)</f>
        <v>1</v>
      </c>
      <c r="D193" s="22">
        <f t="shared" si="12"/>
        <v>0</v>
      </c>
      <c r="E193" s="31">
        <f>SUMIFS(GameStats!D:D,GameStats!C:C,A193,GameStats!B:B,"&gt;="&amp;$Q$1)/C193</f>
        <v>16</v>
      </c>
      <c r="F193" s="32">
        <f t="shared" si="13"/>
        <v>0.33898305084745761</v>
      </c>
      <c r="G193" s="20">
        <f>COUNTIFS(GameStats!I:I,A193,GameStats!B:B,"&gt;="&amp;$Q$1)</f>
        <v>0</v>
      </c>
      <c r="H193" s="33">
        <f>SUMIFS(GameStats!F:F,GameStats!C:C,A193,GameStats!B:B,"&gt;="&amp;$Q$1)</f>
        <v>40</v>
      </c>
      <c r="I193" s="33">
        <f>SUMIFS(GameStats!G:G,GameStats!C:C,A193,GameStats!B:B,"&gt;="&amp;$Q$1)</f>
        <v>118</v>
      </c>
      <c r="J193" s="33">
        <f t="shared" si="14"/>
        <v>40</v>
      </c>
      <c r="K193" s="33">
        <f t="shared" si="15"/>
        <v>118</v>
      </c>
      <c r="L193" s="32">
        <f t="shared" si="16"/>
        <v>0</v>
      </c>
      <c r="M193" s="29">
        <f>('Elo model'!$E$14*PlayerStats!D226) + ('Elo model'!$F$14*(1/PlayerStats!E226)) + ('Elo model'!$G$14*(PlayerStats!F226/1.75)) + ('Elo model'!$H$14*(PlayerStats!L226/4))</f>
        <v>7.8974221267454348E-2</v>
      </c>
      <c r="N193" s="21">
        <f>_xlfn.MINIFS(GameStats!B:B,GameStats!C:C,A193)</f>
        <v>45464</v>
      </c>
      <c r="O193" s="21">
        <f>_xlfn.MAXIFS(GameStats!B:B,GameStats!C:C,A193)</f>
        <v>45464</v>
      </c>
      <c r="P193" t="b">
        <f t="shared" si="17"/>
        <v>1</v>
      </c>
    </row>
    <row r="194" spans="1:17" customFormat="1" ht="14.4" x14ac:dyDescent="0.3">
      <c r="A194" s="20" t="str">
        <f>'All Players'!A236</f>
        <v>Sauc3</v>
      </c>
      <c r="B194" s="20">
        <f>COUNTIFS(GameStats!C:C,A194,GameStats!D:D,"1",GameStats!B:B,"&gt;="&amp;$Q$1)</f>
        <v>0</v>
      </c>
      <c r="C194" s="20">
        <f>COUNTIFS(GameStats!C:C,A194,GameStats!B:B,"&gt;="&amp;$Q$1)</f>
        <v>1</v>
      </c>
      <c r="D194" s="22">
        <f t="shared" ref="D194:D257" si="18">B194/C194</f>
        <v>0</v>
      </c>
      <c r="E194" s="31">
        <f>SUMIFS(GameStats!D:D,GameStats!C:C,A194,GameStats!B:B,"&gt;="&amp;$Q$1)/C194</f>
        <v>16</v>
      </c>
      <c r="F194" s="32">
        <f t="shared" ref="F194:F257" si="19">H194/I194</f>
        <v>0.64197530864197527</v>
      </c>
      <c r="G194" s="20">
        <f>COUNTIFS(GameStats!I:I,A194,GameStats!B:B,"&gt;="&amp;$Q$1)</f>
        <v>0</v>
      </c>
      <c r="H194" s="33">
        <f>SUMIFS(GameStats!F:F,GameStats!C:C,A194,GameStats!B:B,"&gt;="&amp;$Q$1)</f>
        <v>52</v>
      </c>
      <c r="I194" s="33">
        <f>SUMIFS(GameStats!G:G,GameStats!C:C,A194,GameStats!B:B,"&gt;="&amp;$Q$1)</f>
        <v>81</v>
      </c>
      <c r="J194" s="33">
        <f t="shared" ref="J194:J257" si="20">H194/C194</f>
        <v>52</v>
      </c>
      <c r="K194" s="33">
        <f t="shared" ref="K194:K257" si="21">I194/C194</f>
        <v>81</v>
      </c>
      <c r="L194" s="32">
        <f t="shared" ref="L194:L257" si="22">G194/C194</f>
        <v>0</v>
      </c>
      <c r="M194" s="29">
        <f>('Elo model'!$E$14*PlayerStats!D236) + ('Elo model'!$F$14*(1/PlayerStats!E236)) + ('Elo model'!$G$14*(PlayerStats!F236/1.75)) + ('Elo model'!$H$14*(PlayerStats!L236/4))</f>
        <v>5.1597744360902253E-2</v>
      </c>
      <c r="N194" s="21">
        <f>_xlfn.MINIFS(GameStats!B:B,GameStats!C:C,A194)</f>
        <v>45478</v>
      </c>
      <c r="O194" s="21">
        <f>_xlfn.MAXIFS(GameStats!B:B,GameStats!C:C,A194)</f>
        <v>45478</v>
      </c>
      <c r="P194" t="b">
        <f t="shared" ref="P194:P257" si="23">IF(O194&gt;$Q$1,TRUE)</f>
        <v>1</v>
      </c>
    </row>
    <row r="195" spans="1:17" customFormat="1" ht="14.4" x14ac:dyDescent="0.3">
      <c r="A195" s="20" t="str">
        <f>'All Players'!A273</f>
        <v>Ifeelya</v>
      </c>
      <c r="B195" s="20">
        <f>COUNTIFS(GameStats!C:C,A195,GameStats!D:D,"1",GameStats!B:B,"&gt;="&amp;$Q$1)</f>
        <v>0</v>
      </c>
      <c r="C195" s="20">
        <f>COUNTIFS(GameStats!C:C,A195,GameStats!B:B,"&gt;="&amp;$Q$1)</f>
        <v>1</v>
      </c>
      <c r="D195" s="22">
        <f t="shared" si="18"/>
        <v>0</v>
      </c>
      <c r="E195" s="31">
        <f>SUMIFS(GameStats!D:D,GameStats!C:C,A195,GameStats!B:B,"&gt;="&amp;$Q$1)/C195</f>
        <v>16</v>
      </c>
      <c r="F195" s="32">
        <f t="shared" si="19"/>
        <v>0.59668508287292821</v>
      </c>
      <c r="G195" s="20">
        <f>COUNTIFS(GameStats!I:I,A195,GameStats!B:B,"&gt;="&amp;$Q$1)</f>
        <v>0</v>
      </c>
      <c r="H195" s="33">
        <f>SUMIFS(GameStats!F:F,GameStats!C:C,A195,GameStats!B:B,"&gt;="&amp;$Q$1)</f>
        <v>216</v>
      </c>
      <c r="I195" s="33">
        <f>SUMIFS(GameStats!G:G,GameStats!C:C,A195,GameStats!B:B,"&gt;="&amp;$Q$1)</f>
        <v>362</v>
      </c>
      <c r="J195" s="33">
        <f t="shared" si="20"/>
        <v>216</v>
      </c>
      <c r="K195" s="33">
        <f t="shared" si="21"/>
        <v>362</v>
      </c>
      <c r="L195" s="32">
        <f t="shared" si="22"/>
        <v>0</v>
      </c>
      <c r="M195" s="29">
        <f>('Elo model'!$E$14*PlayerStats!D273) + ('Elo model'!$F$14*(1/PlayerStats!E273)) + ('Elo model'!$G$14*(PlayerStats!F273/1.75)) + ('Elo model'!$H$14*(PlayerStats!L273/4))</f>
        <v>6.6601731601731606E-2</v>
      </c>
      <c r="N195" s="21">
        <f>_xlfn.MINIFS(GameStats!B:B,GameStats!C:C,A195)</f>
        <v>45541</v>
      </c>
      <c r="O195" s="21">
        <f>_xlfn.MAXIFS(GameStats!B:B,GameStats!C:C,A195)</f>
        <v>45541</v>
      </c>
      <c r="P195" t="b">
        <f t="shared" si="23"/>
        <v>1</v>
      </c>
    </row>
    <row r="196" spans="1:17" customFormat="1" ht="14.4" x14ac:dyDescent="0.3">
      <c r="A196" s="20" t="str">
        <f>'All Players'!A286</f>
        <v>ShockZ</v>
      </c>
      <c r="B196" s="20">
        <f>COUNTIFS(GameStats!C:C,A196,GameStats!D:D,"1",GameStats!B:B,"&gt;="&amp;$Q$1)</f>
        <v>0</v>
      </c>
      <c r="C196" s="20">
        <f>COUNTIFS(GameStats!C:C,A196,GameStats!B:B,"&gt;="&amp;$Q$1)</f>
        <v>1</v>
      </c>
      <c r="D196" s="22">
        <f t="shared" si="18"/>
        <v>0</v>
      </c>
      <c r="E196" s="31">
        <f>SUMIFS(GameStats!D:D,GameStats!C:C,A196,GameStats!B:B,"&gt;="&amp;$Q$1)/C196</f>
        <v>16</v>
      </c>
      <c r="F196" s="32">
        <f t="shared" si="19"/>
        <v>0.46250000000000002</v>
      </c>
      <c r="G196" s="20">
        <f>COUNTIFS(GameStats!I:I,A196,GameStats!B:B,"&gt;="&amp;$Q$1)</f>
        <v>0</v>
      </c>
      <c r="H196" s="33">
        <f>SUMIFS(GameStats!F:F,GameStats!C:C,A196,GameStats!B:B,"&gt;="&amp;$Q$1)</f>
        <v>37</v>
      </c>
      <c r="I196" s="33">
        <f>SUMIFS(GameStats!G:G,GameStats!C:C,A196,GameStats!B:B,"&gt;="&amp;$Q$1)</f>
        <v>80</v>
      </c>
      <c r="J196" s="33">
        <f t="shared" si="20"/>
        <v>37</v>
      </c>
      <c r="K196" s="33">
        <f t="shared" si="21"/>
        <v>80</v>
      </c>
      <c r="L196" s="32">
        <f t="shared" si="22"/>
        <v>0</v>
      </c>
      <c r="M196" s="29">
        <f>('Elo model'!$E$14*PlayerStats!D286) + ('Elo model'!$F$14*(1/PlayerStats!E286)) + ('Elo model'!$G$14*(PlayerStats!F286/1.75)) + ('Elo model'!$H$14*(PlayerStats!L286/4))</f>
        <v>7.7536231884057977E-2</v>
      </c>
      <c r="N196" s="21">
        <f>_xlfn.MINIFS(GameStats!B:B,GameStats!C:C,A196)</f>
        <v>45562</v>
      </c>
      <c r="O196" s="21">
        <f>_xlfn.MAXIFS(GameStats!B:B,GameStats!C:C,A196)</f>
        <v>45562</v>
      </c>
      <c r="P196" t="b">
        <f t="shared" si="23"/>
        <v>1</v>
      </c>
    </row>
    <row r="197" spans="1:17" customFormat="1" ht="14.4" x14ac:dyDescent="0.3">
      <c r="A197" s="20" t="str">
        <f>'All Players'!A158</f>
        <v>ratty</v>
      </c>
      <c r="B197" s="20">
        <f>COUNTIFS(GameStats!C:C,A197,GameStats!D:D,"1",GameStats!B:B,"&gt;="&amp;$Q$1)</f>
        <v>0</v>
      </c>
      <c r="C197" s="20">
        <f>COUNTIFS(GameStats!C:C,A197,GameStats!B:B,"&gt;="&amp;$Q$1)</f>
        <v>1</v>
      </c>
      <c r="D197" s="22">
        <f t="shared" si="18"/>
        <v>0</v>
      </c>
      <c r="E197" s="31">
        <f>SUMIFS(GameStats!D:D,GameStats!C:C,A197,GameStats!B:B,"&gt;="&amp;$Q$1)/C197</f>
        <v>17</v>
      </c>
      <c r="F197" s="32">
        <f t="shared" si="19"/>
        <v>0.16666666666666666</v>
      </c>
      <c r="G197" s="20">
        <f>COUNTIFS(GameStats!I:I,A197,GameStats!B:B,"&gt;="&amp;$Q$1)</f>
        <v>0</v>
      </c>
      <c r="H197" s="33">
        <f>SUMIFS(GameStats!F:F,GameStats!C:C,A197,GameStats!B:B,"&gt;="&amp;$Q$1)</f>
        <v>11</v>
      </c>
      <c r="I197" s="33">
        <f>SUMIFS(GameStats!G:G,GameStats!C:C,A197,GameStats!B:B,"&gt;="&amp;$Q$1)</f>
        <v>66</v>
      </c>
      <c r="J197" s="33">
        <f t="shared" si="20"/>
        <v>11</v>
      </c>
      <c r="K197" s="33">
        <f t="shared" si="21"/>
        <v>66</v>
      </c>
      <c r="L197" s="32">
        <f t="shared" si="22"/>
        <v>0</v>
      </c>
      <c r="M197" s="29">
        <f>('Elo model'!$E$14*PlayerStats!D158) + ('Elo model'!$F$14*(1/PlayerStats!E158)) + ('Elo model'!$G$14*(PlayerStats!F158/1.75)) + ('Elo model'!$H$14*(PlayerStats!L158/4))</f>
        <v>9.2648005148005141E-2</v>
      </c>
      <c r="N197" s="21">
        <f>_xlfn.MINIFS(GameStats!B:B,GameStats!C:C,A197)</f>
        <v>45394</v>
      </c>
      <c r="O197" s="21">
        <f>_xlfn.MAXIFS(GameStats!B:B,GameStats!C:C,A197)</f>
        <v>45394</v>
      </c>
      <c r="P197" t="b">
        <f t="shared" si="23"/>
        <v>1</v>
      </c>
      <c r="Q197" s="20"/>
    </row>
    <row r="198" spans="1:17" customFormat="1" ht="14.4" x14ac:dyDescent="0.3">
      <c r="A198" s="20" t="str">
        <f>'All Players'!A18</f>
        <v>iceghost</v>
      </c>
      <c r="B198" s="20">
        <f>COUNTIFS(GameStats!C:C,A198,GameStats!D:D,"1",GameStats!B:B,"&gt;="&amp;$Q$1)</f>
        <v>0</v>
      </c>
      <c r="C198" s="20">
        <f>COUNTIFS(GameStats!C:C,A198,GameStats!B:B,"&gt;="&amp;$Q$1)</f>
        <v>1</v>
      </c>
      <c r="D198" s="22">
        <f t="shared" si="18"/>
        <v>0</v>
      </c>
      <c r="E198" s="31">
        <f>SUMIFS(GameStats!D:D,GameStats!C:C,A198,GameStats!B:B,"&gt;="&amp;$Q$1)/C198</f>
        <v>17</v>
      </c>
      <c r="F198" s="32">
        <f t="shared" si="19"/>
        <v>0.66363636363636369</v>
      </c>
      <c r="G198" s="20">
        <f>COUNTIFS(GameStats!I:I,A198,GameStats!B:B,"&gt;="&amp;$Q$1)</f>
        <v>0</v>
      </c>
      <c r="H198" s="33">
        <f>SUMIFS(GameStats!F:F,GameStats!C:C,A198,GameStats!B:B,"&gt;="&amp;$Q$1)</f>
        <v>73</v>
      </c>
      <c r="I198" s="33">
        <f>SUMIFS(GameStats!G:G,GameStats!C:C,A198,GameStats!B:B,"&gt;="&amp;$Q$1)</f>
        <v>110</v>
      </c>
      <c r="J198" s="33">
        <f t="shared" si="20"/>
        <v>73</v>
      </c>
      <c r="K198" s="33">
        <f t="shared" si="21"/>
        <v>110</v>
      </c>
      <c r="L198" s="32">
        <f t="shared" si="22"/>
        <v>0</v>
      </c>
      <c r="M198" s="29">
        <f>('Elo model'!$E$14*PlayerStats!D18) + ('Elo model'!$F$14*(1/PlayerStats!E18)) + ('Elo model'!$G$14*(PlayerStats!F18/1.75)) + ('Elo model'!$H$14*(PlayerStats!L18/4))</f>
        <v>0.20736587952076879</v>
      </c>
      <c r="N198" s="21">
        <f>_xlfn.MINIFS(GameStats!B:B,GameStats!C:C,A198)</f>
        <v>44967</v>
      </c>
      <c r="O198" s="21">
        <f>_xlfn.MAXIFS(GameStats!B:B,GameStats!C:C,A198)</f>
        <v>44967</v>
      </c>
      <c r="P198" t="b">
        <f t="shared" si="23"/>
        <v>1</v>
      </c>
    </row>
    <row r="199" spans="1:17" customFormat="1" ht="14.4" x14ac:dyDescent="0.3">
      <c r="A199" s="20" t="str">
        <f>'All Players'!A168</f>
        <v>kosmopolit</v>
      </c>
      <c r="B199" s="20">
        <f>COUNTIFS(GameStats!C:C,A199,GameStats!D:D,"1",GameStats!B:B,"&gt;="&amp;$Q$1)</f>
        <v>0</v>
      </c>
      <c r="C199" s="20">
        <f>COUNTIFS(GameStats!C:C,A199,GameStats!B:B,"&gt;="&amp;$Q$1)</f>
        <v>1</v>
      </c>
      <c r="D199" s="22">
        <f t="shared" si="18"/>
        <v>0</v>
      </c>
      <c r="E199" s="31">
        <f>SUMIFS(GameStats!D:D,GameStats!C:C,A199,GameStats!B:B,"&gt;="&amp;$Q$1)/C199</f>
        <v>17</v>
      </c>
      <c r="F199" s="32">
        <f t="shared" si="19"/>
        <v>0.5074626865671642</v>
      </c>
      <c r="G199" s="20">
        <f>COUNTIFS(GameStats!I:I,A199,GameStats!B:B,"&gt;="&amp;$Q$1)</f>
        <v>0</v>
      </c>
      <c r="H199" s="33">
        <f>SUMIFS(GameStats!F:F,GameStats!C:C,A199,GameStats!B:B,"&gt;="&amp;$Q$1)</f>
        <v>34</v>
      </c>
      <c r="I199" s="33">
        <f>SUMIFS(GameStats!G:G,GameStats!C:C,A199,GameStats!B:B,"&gt;="&amp;$Q$1)</f>
        <v>67</v>
      </c>
      <c r="J199" s="33">
        <f t="shared" si="20"/>
        <v>34</v>
      </c>
      <c r="K199" s="33">
        <f t="shared" si="21"/>
        <v>67</v>
      </c>
      <c r="L199" s="32">
        <f t="shared" si="22"/>
        <v>0</v>
      </c>
      <c r="M199" s="29">
        <f>('Elo model'!$E$14*PlayerStats!D168) + ('Elo model'!$F$14*(1/PlayerStats!E168)) + ('Elo model'!$G$14*(PlayerStats!F168/1.75)) + ('Elo model'!$H$14*(PlayerStats!L168/4))</f>
        <v>6.1002921129503403E-2</v>
      </c>
      <c r="N199" s="21">
        <f>_xlfn.MINIFS(GameStats!B:B,GameStats!C:C,A199)</f>
        <v>45401</v>
      </c>
      <c r="O199" s="21">
        <f>_xlfn.MAXIFS(GameStats!B:B,GameStats!C:C,A199)</f>
        <v>45401</v>
      </c>
      <c r="P199" t="b">
        <f t="shared" si="23"/>
        <v>1</v>
      </c>
    </row>
    <row r="200" spans="1:17" customFormat="1" ht="14.4" x14ac:dyDescent="0.3">
      <c r="A200" s="20" t="str">
        <f>'All Players'!A55</f>
        <v>Delroy</v>
      </c>
      <c r="B200" s="20">
        <f>COUNTIFS(GameStats!C:C,A200,GameStats!D:D,"1",GameStats!B:B,"&gt;="&amp;$Q$1)</f>
        <v>0</v>
      </c>
      <c r="C200" s="20">
        <f>COUNTIFS(GameStats!C:C,A200,GameStats!B:B,"&gt;="&amp;$Q$1)</f>
        <v>1</v>
      </c>
      <c r="D200" s="22">
        <f t="shared" si="18"/>
        <v>0</v>
      </c>
      <c r="E200" s="31">
        <f>SUMIFS(GameStats!D:D,GameStats!C:C,A200,GameStats!B:B,"&gt;="&amp;$Q$1)/C200</f>
        <v>17</v>
      </c>
      <c r="F200" s="32">
        <f t="shared" si="19"/>
        <v>0.70175438596491224</v>
      </c>
      <c r="G200" s="20">
        <f>COUNTIFS(GameStats!I:I,A200,GameStats!B:B,"&gt;="&amp;$Q$1)</f>
        <v>0</v>
      </c>
      <c r="H200" s="33">
        <f>SUMIFS(GameStats!F:F,GameStats!C:C,A200,GameStats!B:B,"&gt;="&amp;$Q$1)</f>
        <v>80</v>
      </c>
      <c r="I200" s="33">
        <f>SUMIFS(GameStats!G:G,GameStats!C:C,A200,GameStats!B:B,"&gt;="&amp;$Q$1)</f>
        <v>114</v>
      </c>
      <c r="J200" s="33">
        <f t="shared" si="20"/>
        <v>80</v>
      </c>
      <c r="K200" s="33">
        <f t="shared" si="21"/>
        <v>114</v>
      </c>
      <c r="L200" s="32">
        <f t="shared" si="22"/>
        <v>0</v>
      </c>
      <c r="M200" s="29">
        <f>('Elo model'!$E$14*PlayerStats!D55) + ('Elo model'!$F$14*(1/PlayerStats!E55)) + ('Elo model'!$G$14*PlayerStats!F55) + ('Elo model'!$H$14*(PlayerStats!L55/4))</f>
        <v>0.12097020528236185</v>
      </c>
      <c r="N200" s="21">
        <f>_xlfn.MINIFS(GameStats!B:B,GameStats!C:C,A200)</f>
        <v>44995</v>
      </c>
      <c r="O200" s="21">
        <f>_xlfn.MAXIFS(GameStats!B:B,GameStats!C:C,A200)</f>
        <v>44995</v>
      </c>
      <c r="P200" t="b">
        <f t="shared" si="23"/>
        <v>1</v>
      </c>
      <c r="Q200" s="20"/>
    </row>
    <row r="201" spans="1:17" customFormat="1" ht="14.4" x14ac:dyDescent="0.3">
      <c r="A201" s="20" t="str">
        <f>'All Players'!A188</f>
        <v>EastofEden</v>
      </c>
      <c r="B201" s="20">
        <f>COUNTIFS(GameStats!C:C,A201,GameStats!D:D,"1",GameStats!B:B,"&gt;="&amp;$Q$1)</f>
        <v>0</v>
      </c>
      <c r="C201" s="20">
        <f>COUNTIFS(GameStats!C:C,A201,GameStats!B:B,"&gt;="&amp;$Q$1)</f>
        <v>1</v>
      </c>
      <c r="D201" s="22">
        <f t="shared" si="18"/>
        <v>0</v>
      </c>
      <c r="E201" s="31">
        <f>SUMIFS(GameStats!D:D,GameStats!C:C,A201,GameStats!B:B,"&gt;="&amp;$Q$1)/C201</f>
        <v>17</v>
      </c>
      <c r="F201" s="32">
        <f t="shared" si="19"/>
        <v>0.8623188405797102</v>
      </c>
      <c r="G201" s="20">
        <f>COUNTIFS(GameStats!I:I,A201,GameStats!B:B,"&gt;="&amp;$Q$1)</f>
        <v>0</v>
      </c>
      <c r="H201" s="33">
        <f>SUMIFS(GameStats!F:F,GameStats!C:C,A201,GameStats!B:B,"&gt;="&amp;$Q$1)</f>
        <v>357</v>
      </c>
      <c r="I201" s="33">
        <f>SUMIFS(GameStats!G:G,GameStats!C:C,A201,GameStats!B:B,"&gt;="&amp;$Q$1)</f>
        <v>414</v>
      </c>
      <c r="J201" s="33">
        <f t="shared" si="20"/>
        <v>357</v>
      </c>
      <c r="K201" s="33">
        <f t="shared" si="21"/>
        <v>414</v>
      </c>
      <c r="L201" s="32">
        <f t="shared" si="22"/>
        <v>0</v>
      </c>
      <c r="M201" s="29">
        <f>('Elo model'!$E$14*PlayerStats!D188) + ('Elo model'!$F$14*(1/PlayerStats!E188)) + ('Elo model'!$G$14*(PlayerStats!F188/1.75)) + ('Elo model'!$H$14*(PlayerStats!L188/4))</f>
        <v>0.18148314741513732</v>
      </c>
      <c r="N201" s="21">
        <f>_xlfn.MINIFS(GameStats!B:B,GameStats!C:C,A201)</f>
        <v>45422</v>
      </c>
      <c r="O201" s="21">
        <f>_xlfn.MAXIFS(GameStats!B:B,GameStats!C:C,A201)</f>
        <v>45422</v>
      </c>
      <c r="P201" t="b">
        <f t="shared" si="23"/>
        <v>1</v>
      </c>
    </row>
    <row r="202" spans="1:17" customFormat="1" ht="14.4" x14ac:dyDescent="0.3">
      <c r="A202" s="20" t="str">
        <f>'All Players'!A91</f>
        <v>FluffiFluf</v>
      </c>
      <c r="B202" s="20">
        <f>COUNTIFS(GameStats!C:C,A202,GameStats!D:D,"1",GameStats!B:B,"&gt;="&amp;$Q$1)</f>
        <v>0</v>
      </c>
      <c r="C202" s="20">
        <f>COUNTIFS(GameStats!C:C,A202,GameStats!B:B,"&gt;="&amp;$Q$1)</f>
        <v>1</v>
      </c>
      <c r="D202" s="22">
        <f t="shared" si="18"/>
        <v>0</v>
      </c>
      <c r="E202" s="31">
        <f>SUMIFS(GameStats!D:D,GameStats!C:C,A202,GameStats!B:B,"&gt;="&amp;$Q$1)/C202</f>
        <v>17</v>
      </c>
      <c r="F202" s="32">
        <f t="shared" si="19"/>
        <v>0.78813559322033899</v>
      </c>
      <c r="G202" s="20">
        <f>COUNTIFS(GameStats!I:I,A202,GameStats!B:B,"&gt;="&amp;$Q$1)</f>
        <v>0</v>
      </c>
      <c r="H202" s="33">
        <f>SUMIFS(GameStats!F:F,GameStats!C:C,A202,GameStats!B:B,"&gt;="&amp;$Q$1)</f>
        <v>93</v>
      </c>
      <c r="I202" s="33">
        <f>SUMIFS(GameStats!G:G,GameStats!C:C,A202,GameStats!B:B,"&gt;="&amp;$Q$1)</f>
        <v>118</v>
      </c>
      <c r="J202" s="33">
        <f t="shared" si="20"/>
        <v>93</v>
      </c>
      <c r="K202" s="33">
        <f t="shared" si="21"/>
        <v>118</v>
      </c>
      <c r="L202" s="32">
        <f t="shared" si="22"/>
        <v>0</v>
      </c>
      <c r="M202" s="29">
        <f>('Elo model'!$E$14*PlayerStats!D91) + ('Elo model'!$F$14*(1/PlayerStats!E91)) + ('Elo model'!$G$14*(PlayerStats!F91/1.75)) + ('Elo model'!$H$14*(PlayerStats!L91/4))</f>
        <v>6.9167119881905048E-2</v>
      </c>
      <c r="N202" s="21">
        <f>_xlfn.MINIFS(GameStats!B:B,GameStats!C:C,A202)</f>
        <v>45023</v>
      </c>
      <c r="O202" s="21">
        <f>_xlfn.MAXIFS(GameStats!B:B,GameStats!C:C,A202)</f>
        <v>45023</v>
      </c>
      <c r="P202" t="b">
        <f t="shared" si="23"/>
        <v>1</v>
      </c>
    </row>
    <row r="203" spans="1:17" customFormat="1" ht="14.4" x14ac:dyDescent="0.3">
      <c r="A203" s="20" t="str">
        <f>'All Players'!A179</f>
        <v>Schneemann</v>
      </c>
      <c r="B203" s="20">
        <f>COUNTIFS(GameStats!C:C,A203,GameStats!D:D,"1",GameStats!B:B,"&gt;="&amp;$Q$1)</f>
        <v>0</v>
      </c>
      <c r="C203" s="20">
        <f>COUNTIFS(GameStats!C:C,A203,GameStats!B:B,"&gt;="&amp;$Q$1)</f>
        <v>1</v>
      </c>
      <c r="D203" s="22">
        <f t="shared" si="18"/>
        <v>0</v>
      </c>
      <c r="E203" s="31">
        <f>SUMIFS(GameStats!D:D,GameStats!C:C,A203,GameStats!B:B,"&gt;="&amp;$Q$1)/C203</f>
        <v>17</v>
      </c>
      <c r="F203" s="32">
        <f t="shared" si="19"/>
        <v>0.9375</v>
      </c>
      <c r="G203" s="20">
        <f>COUNTIFS(GameStats!I:I,A203,GameStats!B:B,"&gt;="&amp;$Q$1)</f>
        <v>1</v>
      </c>
      <c r="H203" s="33">
        <f>SUMIFS(GameStats!F:F,GameStats!C:C,A203,GameStats!B:B,"&gt;="&amp;$Q$1)</f>
        <v>270</v>
      </c>
      <c r="I203" s="33">
        <f>SUMIFS(GameStats!G:G,GameStats!C:C,A203,GameStats!B:B,"&gt;="&amp;$Q$1)</f>
        <v>288</v>
      </c>
      <c r="J203" s="33">
        <f t="shared" si="20"/>
        <v>270</v>
      </c>
      <c r="K203" s="33">
        <f t="shared" si="21"/>
        <v>288</v>
      </c>
      <c r="L203" s="32">
        <f t="shared" si="22"/>
        <v>1</v>
      </c>
      <c r="M203" s="29">
        <f>('Elo model'!$E$14*PlayerStats!D179) + ('Elo model'!$F$14*(1/PlayerStats!E179)) + ('Elo model'!$G$14*(PlayerStats!F179/1.75)) + ('Elo model'!$H$14*(PlayerStats!L179/4))</f>
        <v>6.0481511040170258E-2</v>
      </c>
      <c r="N203" s="21">
        <f>_xlfn.MINIFS(GameStats!B:B,GameStats!C:C,A203)</f>
        <v>45415</v>
      </c>
      <c r="O203" s="21">
        <f>_xlfn.MAXIFS(GameStats!B:B,GameStats!C:C,A203)</f>
        <v>45415</v>
      </c>
      <c r="P203" t="b">
        <f t="shared" si="23"/>
        <v>1</v>
      </c>
    </row>
    <row r="204" spans="1:17" customFormat="1" ht="14.4" x14ac:dyDescent="0.3">
      <c r="A204" s="20" t="str">
        <f>'All Players'!A209</f>
        <v>EvilPenguin</v>
      </c>
      <c r="B204" s="20">
        <f>COUNTIFS(GameStats!C:C,A204,GameStats!D:D,"1",GameStats!B:B,"&gt;="&amp;$Q$1)</f>
        <v>0</v>
      </c>
      <c r="C204" s="20">
        <f>COUNTIFS(GameStats!C:C,A204,GameStats!B:B,"&gt;="&amp;$Q$1)</f>
        <v>1</v>
      </c>
      <c r="D204" s="22">
        <f t="shared" si="18"/>
        <v>0</v>
      </c>
      <c r="E204" s="31">
        <f>SUMIFS(GameStats!D:D,GameStats!C:C,A204,GameStats!B:B,"&gt;="&amp;$Q$1)/C204</f>
        <v>17</v>
      </c>
      <c r="F204" s="32">
        <f t="shared" si="19"/>
        <v>0.45454545454545453</v>
      </c>
      <c r="G204" s="20">
        <f>COUNTIFS(GameStats!I:I,A204,GameStats!B:B,"&gt;="&amp;$Q$1)</f>
        <v>0</v>
      </c>
      <c r="H204" s="33">
        <f>SUMIFS(GameStats!F:F,GameStats!C:C,A204,GameStats!B:B,"&gt;="&amp;$Q$1)</f>
        <v>30</v>
      </c>
      <c r="I204" s="33">
        <f>SUMIFS(GameStats!G:G,GameStats!C:C,A204,GameStats!B:B,"&gt;="&amp;$Q$1)</f>
        <v>66</v>
      </c>
      <c r="J204" s="33">
        <f t="shared" si="20"/>
        <v>30</v>
      </c>
      <c r="K204" s="33">
        <f t="shared" si="21"/>
        <v>66</v>
      </c>
      <c r="L204" s="32">
        <f t="shared" si="22"/>
        <v>0</v>
      </c>
      <c r="M204" s="29">
        <f>('Elo model'!$E$14*PlayerStats!D209) + ('Elo model'!$F$14*(1/PlayerStats!E209)) + ('Elo model'!$G$14*(PlayerStats!F209/1.75)) + ('Elo model'!$H$14*(PlayerStats!L209/4))</f>
        <v>5.3915608796710174E-2</v>
      </c>
      <c r="N204" s="21">
        <f>_xlfn.MINIFS(GameStats!B:B,GameStats!C:C,A204)</f>
        <v>45443</v>
      </c>
      <c r="O204" s="21">
        <f>_xlfn.MAXIFS(GameStats!B:B,GameStats!C:C,A204)</f>
        <v>45443</v>
      </c>
      <c r="P204" t="b">
        <f t="shared" si="23"/>
        <v>1</v>
      </c>
    </row>
    <row r="205" spans="1:17" customFormat="1" ht="14.4" x14ac:dyDescent="0.3">
      <c r="A205" s="20" t="str">
        <f>'All Players'!A214</f>
        <v>Demos</v>
      </c>
      <c r="B205" s="20">
        <f>COUNTIFS(GameStats!C:C,A205,GameStats!D:D,"1",GameStats!B:B,"&gt;="&amp;$Q$1)</f>
        <v>0</v>
      </c>
      <c r="C205" s="20">
        <f>COUNTIFS(GameStats!C:C,A205,GameStats!B:B,"&gt;="&amp;$Q$1)</f>
        <v>1</v>
      </c>
      <c r="D205" s="22">
        <f t="shared" si="18"/>
        <v>0</v>
      </c>
      <c r="E205" s="31">
        <f>SUMIFS(GameStats!D:D,GameStats!C:C,A205,GameStats!B:B,"&gt;="&amp;$Q$1)/C205</f>
        <v>17</v>
      </c>
      <c r="F205" s="32">
        <f t="shared" si="19"/>
        <v>0.53414634146341466</v>
      </c>
      <c r="G205" s="20">
        <f>COUNTIFS(GameStats!I:I,A205,GameStats!B:B,"&gt;="&amp;$Q$1)</f>
        <v>0</v>
      </c>
      <c r="H205" s="33">
        <f>SUMIFS(GameStats!F:F,GameStats!C:C,A205,GameStats!B:B,"&gt;="&amp;$Q$1)</f>
        <v>219</v>
      </c>
      <c r="I205" s="33">
        <f>SUMIFS(GameStats!G:G,GameStats!C:C,A205,GameStats!B:B,"&gt;="&amp;$Q$1)</f>
        <v>410</v>
      </c>
      <c r="J205" s="33">
        <f t="shared" si="20"/>
        <v>219</v>
      </c>
      <c r="K205" s="33">
        <f t="shared" si="21"/>
        <v>410</v>
      </c>
      <c r="L205" s="32">
        <f t="shared" si="22"/>
        <v>0</v>
      </c>
      <c r="M205" s="29">
        <f>('Elo model'!$E$14*PlayerStats!D214) + ('Elo model'!$F$14*(1/PlayerStats!E214)) + ('Elo model'!$G$14*(PlayerStats!F214/1.75)) + ('Elo model'!$H$14*(PlayerStats!L214/4))</f>
        <v>7.3025101513473606E-2</v>
      </c>
      <c r="N205" s="21">
        <f>_xlfn.MINIFS(GameStats!B:B,GameStats!C:C,A205)</f>
        <v>45450</v>
      </c>
      <c r="O205" s="21">
        <f>_xlfn.MAXIFS(GameStats!B:B,GameStats!C:C,A205)</f>
        <v>45450</v>
      </c>
      <c r="P205" t="b">
        <f t="shared" si="23"/>
        <v>1</v>
      </c>
    </row>
    <row r="206" spans="1:17" customFormat="1" ht="14.4" x14ac:dyDescent="0.3">
      <c r="A206" s="20" t="str">
        <f>'All Players'!A232</f>
        <v>Murlockin</v>
      </c>
      <c r="B206" s="20">
        <f>COUNTIFS(GameStats!C:C,A206,GameStats!D:D,"1",GameStats!B:B,"&gt;="&amp;$Q$1)</f>
        <v>0</v>
      </c>
      <c r="C206" s="20">
        <f>COUNTIFS(GameStats!C:C,A206,GameStats!B:B,"&gt;="&amp;$Q$1)</f>
        <v>1</v>
      </c>
      <c r="D206" s="22">
        <f t="shared" si="18"/>
        <v>0</v>
      </c>
      <c r="E206" s="31">
        <f>SUMIFS(GameStats!D:D,GameStats!C:C,A206,GameStats!B:B,"&gt;="&amp;$Q$1)/C206</f>
        <v>17</v>
      </c>
      <c r="F206" s="32">
        <f t="shared" si="19"/>
        <v>0.23076923076923078</v>
      </c>
      <c r="G206" s="20">
        <f>COUNTIFS(GameStats!I:I,A206,GameStats!B:B,"&gt;="&amp;$Q$1)</f>
        <v>0</v>
      </c>
      <c r="H206" s="33">
        <f>SUMIFS(GameStats!F:F,GameStats!C:C,A206,GameStats!B:B,"&gt;="&amp;$Q$1)</f>
        <v>18</v>
      </c>
      <c r="I206" s="33">
        <f>SUMIFS(GameStats!G:G,GameStats!C:C,A206,GameStats!B:B,"&gt;="&amp;$Q$1)</f>
        <v>78</v>
      </c>
      <c r="J206" s="33">
        <f t="shared" si="20"/>
        <v>18</v>
      </c>
      <c r="K206" s="33">
        <f t="shared" si="21"/>
        <v>78</v>
      </c>
      <c r="L206" s="32">
        <f t="shared" si="22"/>
        <v>0</v>
      </c>
      <c r="M206" s="29">
        <f>('Elo model'!$E$14*PlayerStats!D232) + ('Elo model'!$F$14*(1/PlayerStats!E232)) + ('Elo model'!$G$14*(PlayerStats!F232/1.75)) + ('Elo model'!$H$14*(PlayerStats!L232/4))</f>
        <v>0.1066643882433356</v>
      </c>
      <c r="N206" s="21">
        <f>_xlfn.MINIFS(GameStats!B:B,GameStats!C:C,A206)</f>
        <v>45471</v>
      </c>
      <c r="O206" s="21">
        <f>_xlfn.MAXIFS(GameStats!B:B,GameStats!C:C,A206)</f>
        <v>45471</v>
      </c>
      <c r="P206" t="b">
        <f t="shared" si="23"/>
        <v>1</v>
      </c>
    </row>
    <row r="207" spans="1:17" customFormat="1" ht="14.4" x14ac:dyDescent="0.3">
      <c r="A207" s="20" t="str">
        <f>'All Players'!A248</f>
        <v>SMHerbs</v>
      </c>
      <c r="B207" s="20">
        <f>COUNTIFS(GameStats!C:C,A207,GameStats!D:D,"1",GameStats!B:B,"&gt;="&amp;$Q$1)</f>
        <v>0</v>
      </c>
      <c r="C207" s="20">
        <f>COUNTIFS(GameStats!C:C,A207,GameStats!B:B,"&gt;="&amp;$Q$1)</f>
        <v>1</v>
      </c>
      <c r="D207" s="22">
        <f t="shared" si="18"/>
        <v>0</v>
      </c>
      <c r="E207" s="31">
        <f>SUMIFS(GameStats!D:D,GameStats!C:C,A207,GameStats!B:B,"&gt;="&amp;$Q$1)/C207</f>
        <v>17</v>
      </c>
      <c r="F207" s="32">
        <f t="shared" si="19"/>
        <v>0.4943820224719101</v>
      </c>
      <c r="G207" s="20">
        <f>COUNTIFS(GameStats!I:I,A207,GameStats!B:B,"&gt;="&amp;$Q$1)</f>
        <v>0</v>
      </c>
      <c r="H207" s="33">
        <f>SUMIFS(GameStats!F:F,GameStats!C:C,A207,GameStats!B:B,"&gt;="&amp;$Q$1)</f>
        <v>44</v>
      </c>
      <c r="I207" s="33">
        <f>SUMIFS(GameStats!G:G,GameStats!C:C,A207,GameStats!B:B,"&gt;="&amp;$Q$1)</f>
        <v>89</v>
      </c>
      <c r="J207" s="33">
        <f t="shared" si="20"/>
        <v>44</v>
      </c>
      <c r="K207" s="33">
        <f t="shared" si="21"/>
        <v>89</v>
      </c>
      <c r="L207" s="32">
        <f t="shared" si="22"/>
        <v>0</v>
      </c>
      <c r="M207" s="29">
        <f>('Elo model'!$E$14*PlayerStats!D248) + ('Elo model'!$F$14*(1/PlayerStats!E248)) + ('Elo model'!$G$14*(PlayerStats!F248/1.75)) + ('Elo model'!$H$14*(PlayerStats!L248/4))</f>
        <v>4.5376712328767124E-2</v>
      </c>
      <c r="N207" s="21">
        <f>_xlfn.MINIFS(GameStats!B:B,GameStats!C:C,A207)</f>
        <v>45499</v>
      </c>
      <c r="O207" s="21">
        <f>_xlfn.MAXIFS(GameStats!B:B,GameStats!C:C,A207)</f>
        <v>45499</v>
      </c>
      <c r="P207" t="b">
        <f t="shared" si="23"/>
        <v>1</v>
      </c>
    </row>
    <row r="208" spans="1:17" customFormat="1" ht="14.4" x14ac:dyDescent="0.3">
      <c r="A208" s="20" t="str">
        <f>'All Players'!A263</f>
        <v>Mokkaiokka</v>
      </c>
      <c r="B208" s="20">
        <f>COUNTIFS(GameStats!C:C,A208,GameStats!D:D,"1",GameStats!B:B,"&gt;="&amp;$Q$1)</f>
        <v>0</v>
      </c>
      <c r="C208" s="20">
        <f>COUNTIFS(GameStats!C:C,A208,GameStats!B:B,"&gt;="&amp;$Q$1)</f>
        <v>1</v>
      </c>
      <c r="D208" s="22">
        <f t="shared" si="18"/>
        <v>0</v>
      </c>
      <c r="E208" s="31">
        <f>SUMIFS(GameStats!D:D,GameStats!C:C,A208,GameStats!B:B,"&gt;="&amp;$Q$1)/C208</f>
        <v>17</v>
      </c>
      <c r="F208" s="32">
        <f t="shared" si="19"/>
        <v>1.2950819672131149</v>
      </c>
      <c r="G208" s="20">
        <f>COUNTIFS(GameStats!I:I,A208,GameStats!B:B,"&gt;="&amp;$Q$1)</f>
        <v>0</v>
      </c>
      <c r="H208" s="33">
        <f>SUMIFS(GameStats!F:F,GameStats!C:C,A208,GameStats!B:B,"&gt;="&amp;$Q$1)</f>
        <v>79</v>
      </c>
      <c r="I208" s="33">
        <f>SUMIFS(GameStats!G:G,GameStats!C:C,A208,GameStats!B:B,"&gt;="&amp;$Q$1)</f>
        <v>61</v>
      </c>
      <c r="J208" s="33">
        <f t="shared" si="20"/>
        <v>79</v>
      </c>
      <c r="K208" s="33">
        <f t="shared" si="21"/>
        <v>61</v>
      </c>
      <c r="L208" s="32">
        <f t="shared" si="22"/>
        <v>0</v>
      </c>
      <c r="M208" s="29">
        <f>('Elo model'!$E$14*PlayerStats!D263) + ('Elo model'!$F$14*(1/PlayerStats!E263)) + ('Elo model'!$G$14*(PlayerStats!F263/1.75)) + ('Elo model'!$H$14*(PlayerStats!L263/4))</f>
        <v>2.9047619047619048E-2</v>
      </c>
      <c r="N208" s="21">
        <f>_xlfn.MINIFS(GameStats!B:B,GameStats!C:C,A208)</f>
        <v>45520</v>
      </c>
      <c r="O208" s="21">
        <f>_xlfn.MAXIFS(GameStats!B:B,GameStats!C:C,A208)</f>
        <v>45520</v>
      </c>
      <c r="P208" t="b">
        <f t="shared" si="23"/>
        <v>1</v>
      </c>
    </row>
    <row r="209" spans="1:17" customFormat="1" ht="14.4" x14ac:dyDescent="0.3">
      <c r="A209" s="20" t="str">
        <f>'All Players'!A287</f>
        <v>QuirkyTurtle</v>
      </c>
      <c r="B209" s="20">
        <f>COUNTIFS(GameStats!C:C,A209,GameStats!D:D,"1",GameStats!B:B,"&gt;="&amp;$Q$1)</f>
        <v>0</v>
      </c>
      <c r="C209" s="20">
        <f>COUNTIFS(GameStats!C:C,A209,GameStats!B:B,"&gt;="&amp;$Q$1)</f>
        <v>1</v>
      </c>
      <c r="D209" s="22">
        <f t="shared" si="18"/>
        <v>0</v>
      </c>
      <c r="E209" s="31">
        <f>SUMIFS(GameStats!D:D,GameStats!C:C,A209,GameStats!B:B,"&gt;="&amp;$Q$1)/C209</f>
        <v>17</v>
      </c>
      <c r="F209" s="32">
        <f t="shared" si="19"/>
        <v>0.45744680851063829</v>
      </c>
      <c r="G209" s="20">
        <f>COUNTIFS(GameStats!I:I,A209,GameStats!B:B,"&gt;="&amp;$Q$1)</f>
        <v>0</v>
      </c>
      <c r="H209" s="33">
        <f>SUMIFS(GameStats!F:F,GameStats!C:C,A209,GameStats!B:B,"&gt;="&amp;$Q$1)</f>
        <v>43</v>
      </c>
      <c r="I209" s="33">
        <f>SUMIFS(GameStats!G:G,GameStats!C:C,A209,GameStats!B:B,"&gt;="&amp;$Q$1)</f>
        <v>94</v>
      </c>
      <c r="J209" s="33">
        <f t="shared" si="20"/>
        <v>43</v>
      </c>
      <c r="K209" s="33">
        <f t="shared" si="21"/>
        <v>94</v>
      </c>
      <c r="L209" s="32">
        <f t="shared" si="22"/>
        <v>0</v>
      </c>
      <c r="M209" s="29">
        <f>('Elo model'!$E$14*PlayerStats!D287) + ('Elo model'!$F$14*(1/PlayerStats!E287)) + ('Elo model'!$G$14*(PlayerStats!F287/1.75)) + ('Elo model'!$H$14*(PlayerStats!L287/4))</f>
        <v>4.6959790781301074E-2</v>
      </c>
      <c r="N209" s="21">
        <f>_xlfn.MINIFS(GameStats!B:B,GameStats!C:C,A209)</f>
        <v>45562</v>
      </c>
      <c r="O209" s="21">
        <f>_xlfn.MAXIFS(GameStats!B:B,GameStats!C:C,A209)</f>
        <v>45562</v>
      </c>
      <c r="P209" t="b">
        <f t="shared" si="23"/>
        <v>1</v>
      </c>
    </row>
    <row r="210" spans="1:17" customFormat="1" ht="14.4" x14ac:dyDescent="0.3">
      <c r="A210" s="20" t="str">
        <f>'All Players'!A31</f>
        <v>Pleomond</v>
      </c>
      <c r="B210" s="20">
        <f>COUNTIFS(GameStats!C:C,A210,GameStats!D:D,"1",GameStats!B:B,"&gt;="&amp;$Q$1)</f>
        <v>0</v>
      </c>
      <c r="C210" s="20">
        <f>COUNTIFS(GameStats!C:C,A210,GameStats!B:B,"&gt;="&amp;$Q$1)</f>
        <v>1</v>
      </c>
      <c r="D210" s="22">
        <f t="shared" si="18"/>
        <v>0</v>
      </c>
      <c r="E210" s="31">
        <f>SUMIFS(GameStats!D:D,GameStats!C:C,A210,GameStats!B:B,"&gt;="&amp;$Q$1)/C210</f>
        <v>18</v>
      </c>
      <c r="F210" s="32">
        <f t="shared" si="19"/>
        <v>0.5</v>
      </c>
      <c r="G210" s="20">
        <f>COUNTIFS(GameStats!I:I,A210,GameStats!B:B,"&gt;="&amp;$Q$1)</f>
        <v>0</v>
      </c>
      <c r="H210" s="33">
        <f>SUMIFS(GameStats!F:F,GameStats!C:C,A210,GameStats!B:B,"&gt;="&amp;$Q$1)</f>
        <v>36</v>
      </c>
      <c r="I210" s="33">
        <f>SUMIFS(GameStats!G:G,GameStats!C:C,A210,GameStats!B:B,"&gt;="&amp;$Q$1)</f>
        <v>72</v>
      </c>
      <c r="J210" s="33">
        <f t="shared" si="20"/>
        <v>36</v>
      </c>
      <c r="K210" s="33">
        <f t="shared" si="21"/>
        <v>72</v>
      </c>
      <c r="L210" s="32">
        <f t="shared" si="22"/>
        <v>0</v>
      </c>
      <c r="M210" s="29">
        <f>('Elo model'!$E$14*PlayerStats!D31) + ('Elo model'!$F$14*(1/PlayerStats!E31)) + ('Elo model'!$G$14*(PlayerStats!F31/1.75)) + ('Elo model'!$H$14*(PlayerStats!L31/4))</f>
        <v>0.14187584803256445</v>
      </c>
      <c r="N210" s="21">
        <f>_xlfn.MINIFS(GameStats!B:B,GameStats!C:C,A210)</f>
        <v>44974</v>
      </c>
      <c r="O210" s="21">
        <f>_xlfn.MAXIFS(GameStats!B:B,GameStats!C:C,A210)</f>
        <v>44974</v>
      </c>
      <c r="P210" t="b">
        <f t="shared" si="23"/>
        <v>1</v>
      </c>
      <c r="Q210" s="20"/>
    </row>
    <row r="211" spans="1:17" customFormat="1" ht="14.4" x14ac:dyDescent="0.3">
      <c r="A211" s="20" t="str">
        <f>'All Players'!A159</f>
        <v>overthrow</v>
      </c>
      <c r="B211" s="20">
        <f>COUNTIFS(GameStats!C:C,A211,GameStats!D:D,"1",GameStats!B:B,"&gt;="&amp;$Q$1)</f>
        <v>0</v>
      </c>
      <c r="C211" s="20">
        <f>COUNTIFS(GameStats!C:C,A211,GameStats!B:B,"&gt;="&amp;$Q$1)</f>
        <v>1</v>
      </c>
      <c r="D211" s="22">
        <f t="shared" si="18"/>
        <v>0</v>
      </c>
      <c r="E211" s="31">
        <f>SUMIFS(GameStats!D:D,GameStats!C:C,A211,GameStats!B:B,"&gt;="&amp;$Q$1)/C211</f>
        <v>18</v>
      </c>
      <c r="F211" s="32">
        <f t="shared" si="19"/>
        <v>0.74698795180722888</v>
      </c>
      <c r="G211" s="20">
        <f>COUNTIFS(GameStats!I:I,A211,GameStats!B:B,"&gt;="&amp;$Q$1)</f>
        <v>0</v>
      </c>
      <c r="H211" s="33">
        <f>SUMIFS(GameStats!F:F,GameStats!C:C,A211,GameStats!B:B,"&gt;="&amp;$Q$1)</f>
        <v>62</v>
      </c>
      <c r="I211" s="33">
        <f>SUMIFS(GameStats!G:G,GameStats!C:C,A211,GameStats!B:B,"&gt;="&amp;$Q$1)</f>
        <v>83</v>
      </c>
      <c r="J211" s="33">
        <f t="shared" si="20"/>
        <v>62</v>
      </c>
      <c r="K211" s="33">
        <f t="shared" si="21"/>
        <v>83</v>
      </c>
      <c r="L211" s="32">
        <f t="shared" si="22"/>
        <v>0</v>
      </c>
      <c r="M211" s="29">
        <f>('Elo model'!$E$14*PlayerStats!D159) + ('Elo model'!$F$14*(1/PlayerStats!E159)) + ('Elo model'!$G$14*(PlayerStats!F159/1.75)) + ('Elo model'!$H$14*(PlayerStats!L159/4))</f>
        <v>5.6948903156768316E-2</v>
      </c>
      <c r="N211" s="21">
        <f>_xlfn.MINIFS(GameStats!B:B,GameStats!C:C,A211)</f>
        <v>45394</v>
      </c>
      <c r="O211" s="21">
        <f>_xlfn.MAXIFS(GameStats!B:B,GameStats!C:C,A211)</f>
        <v>45394</v>
      </c>
      <c r="P211" t="b">
        <f t="shared" si="23"/>
        <v>1</v>
      </c>
      <c r="Q211" s="20"/>
    </row>
    <row r="212" spans="1:17" customFormat="1" ht="14.4" x14ac:dyDescent="0.3">
      <c r="A212" s="20" t="str">
        <f>'All Players'!A105</f>
        <v>Rollitupbaby</v>
      </c>
      <c r="B212" s="20">
        <f>COUNTIFS(GameStats!C:C,A212,GameStats!D:D,"1",GameStats!B:B,"&gt;="&amp;$Q$1)</f>
        <v>0</v>
      </c>
      <c r="C212" s="20">
        <f>COUNTIFS(GameStats!C:C,A212,GameStats!B:B,"&gt;="&amp;$Q$1)</f>
        <v>1</v>
      </c>
      <c r="D212" s="22">
        <f t="shared" si="18"/>
        <v>0</v>
      </c>
      <c r="E212" s="31">
        <f>SUMIFS(GameStats!D:D,GameStats!C:C,A212,GameStats!B:B,"&gt;="&amp;$Q$1)/C212</f>
        <v>18</v>
      </c>
      <c r="F212" s="32">
        <f t="shared" si="19"/>
        <v>0.58461538461538465</v>
      </c>
      <c r="G212" s="20">
        <f>COUNTIFS(GameStats!I:I,A212,GameStats!B:B,"&gt;="&amp;$Q$1)</f>
        <v>0</v>
      </c>
      <c r="H212" s="33">
        <f>SUMIFS(GameStats!F:F,GameStats!C:C,A212,GameStats!B:B,"&gt;="&amp;$Q$1)</f>
        <v>76</v>
      </c>
      <c r="I212" s="33">
        <f>SUMIFS(GameStats!G:G,GameStats!C:C,A212,GameStats!B:B,"&gt;="&amp;$Q$1)</f>
        <v>130</v>
      </c>
      <c r="J212" s="33">
        <f t="shared" si="20"/>
        <v>76</v>
      </c>
      <c r="K212" s="33">
        <f t="shared" si="21"/>
        <v>130</v>
      </c>
      <c r="L212" s="32">
        <f t="shared" si="22"/>
        <v>0</v>
      </c>
      <c r="M212" s="29">
        <f>('Elo model'!$E$14*PlayerStats!D105) + ('Elo model'!$F$14*(1/PlayerStats!E105)) + ('Elo model'!$G$14*(PlayerStats!F105/1.75)) + ('Elo model'!$H$14*(PlayerStats!L105/4))</f>
        <v>5.689804943536287E-2</v>
      </c>
      <c r="N212" s="21">
        <f>_xlfn.MINIFS(GameStats!B:B,GameStats!C:C,A212)</f>
        <v>45030</v>
      </c>
      <c r="O212" s="21">
        <f>_xlfn.MAXIFS(GameStats!B:B,GameStats!C:C,A212)</f>
        <v>45030</v>
      </c>
      <c r="P212" t="b">
        <f t="shared" si="23"/>
        <v>1</v>
      </c>
      <c r="Q212" s="20"/>
    </row>
    <row r="213" spans="1:17" customFormat="1" ht="14.4" x14ac:dyDescent="0.3">
      <c r="A213" s="20" t="str">
        <f>'All Players'!A117</f>
        <v>Luciniel</v>
      </c>
      <c r="B213" s="20">
        <f>COUNTIFS(GameStats!C:C,A213,GameStats!D:D,"1",GameStats!B:B,"&gt;="&amp;$Q$1)</f>
        <v>0</v>
      </c>
      <c r="C213" s="20">
        <f>COUNTIFS(GameStats!C:C,A213,GameStats!B:B,"&gt;="&amp;$Q$1)</f>
        <v>1</v>
      </c>
      <c r="D213" s="22">
        <f t="shared" si="18"/>
        <v>0</v>
      </c>
      <c r="E213" s="31">
        <f>SUMIFS(GameStats!D:D,GameStats!C:C,A213,GameStats!B:B,"&gt;="&amp;$Q$1)/C213</f>
        <v>18</v>
      </c>
      <c r="F213" s="32">
        <f t="shared" si="19"/>
        <v>0.5714285714285714</v>
      </c>
      <c r="G213" s="20">
        <f>COUNTIFS(GameStats!I:I,A213,GameStats!B:B,"&gt;="&amp;$Q$1)</f>
        <v>0</v>
      </c>
      <c r="H213" s="33">
        <f>SUMIFS(GameStats!F:F,GameStats!C:C,A213,GameStats!B:B,"&gt;="&amp;$Q$1)</f>
        <v>24</v>
      </c>
      <c r="I213" s="33">
        <f>SUMIFS(GameStats!G:G,GameStats!C:C,A213,GameStats!B:B,"&gt;="&amp;$Q$1)</f>
        <v>42</v>
      </c>
      <c r="J213" s="33">
        <f t="shared" si="20"/>
        <v>24</v>
      </c>
      <c r="K213" s="33">
        <f t="shared" si="21"/>
        <v>42</v>
      </c>
      <c r="L213" s="32">
        <f t="shared" si="22"/>
        <v>0</v>
      </c>
      <c r="M213" s="29">
        <f>('Elo model'!$E$14*PlayerStats!D117) + ('Elo model'!$F$14*(1/PlayerStats!E117)) + ('Elo model'!$G$14*(PlayerStats!F117/1.75)) + ('Elo model'!$H$14*(PlayerStats!L117/4))</f>
        <v>5.8204320014832667E-2</v>
      </c>
      <c r="N213" s="21">
        <f>_xlfn.MINIFS(GameStats!B:B,GameStats!C:C,A213)</f>
        <v>45044</v>
      </c>
      <c r="O213" s="21">
        <f>_xlfn.MAXIFS(GameStats!B:B,GameStats!C:C,A213)</f>
        <v>45044</v>
      </c>
      <c r="P213" t="b">
        <f t="shared" si="23"/>
        <v>1</v>
      </c>
    </row>
    <row r="214" spans="1:17" customFormat="1" ht="14.4" x14ac:dyDescent="0.3">
      <c r="A214" s="20" t="str">
        <f>'All Players'!A150</f>
        <v>theflay</v>
      </c>
      <c r="B214" s="20">
        <f>COUNTIFS(GameStats!C:C,A214,GameStats!D:D,"1",GameStats!B:B,"&gt;="&amp;$Q$1)</f>
        <v>0</v>
      </c>
      <c r="C214" s="20">
        <f>COUNTIFS(GameStats!C:C,A214,GameStats!B:B,"&gt;="&amp;$Q$1)</f>
        <v>1</v>
      </c>
      <c r="D214" s="22">
        <f t="shared" si="18"/>
        <v>0</v>
      </c>
      <c r="E214" s="31">
        <f>SUMIFS(GameStats!D:D,GameStats!C:C,A214,GameStats!B:B,"&gt;="&amp;$Q$1)/C214</f>
        <v>18</v>
      </c>
      <c r="F214" s="32">
        <f t="shared" si="19"/>
        <v>0.68992248062015504</v>
      </c>
      <c r="G214" s="20">
        <f>COUNTIFS(GameStats!I:I,A214,GameStats!B:B,"&gt;="&amp;$Q$1)</f>
        <v>0</v>
      </c>
      <c r="H214" s="33">
        <f>SUMIFS(GameStats!F:F,GameStats!C:C,A214,GameStats!B:B,"&gt;="&amp;$Q$1)</f>
        <v>89</v>
      </c>
      <c r="I214" s="33">
        <f>SUMIFS(GameStats!G:G,GameStats!C:C,A214,GameStats!B:B,"&gt;="&amp;$Q$1)</f>
        <v>129</v>
      </c>
      <c r="J214" s="33">
        <f t="shared" si="20"/>
        <v>89</v>
      </c>
      <c r="K214" s="33">
        <f t="shared" si="21"/>
        <v>129</v>
      </c>
      <c r="L214" s="32">
        <f t="shared" si="22"/>
        <v>0</v>
      </c>
      <c r="M214" s="29">
        <f>('Elo model'!$E$14*PlayerStats!D150) + ('Elo model'!$F$14*(1/PlayerStats!E150)) + ('Elo model'!$G$14*(PlayerStats!F150/1.75)) + ('Elo model'!$H$14*(PlayerStats!L150/4))</f>
        <v>4.7612065354000838E-2</v>
      </c>
      <c r="N214" s="21">
        <f>_xlfn.MINIFS(GameStats!B:B,GameStats!C:C,A214)</f>
        <v>45387</v>
      </c>
      <c r="O214" s="21">
        <f>_xlfn.MAXIFS(GameStats!B:B,GameStats!C:C,A214)</f>
        <v>45387</v>
      </c>
      <c r="P214" t="b">
        <f t="shared" si="23"/>
        <v>1</v>
      </c>
    </row>
    <row r="215" spans="1:17" customFormat="1" ht="14.4" x14ac:dyDescent="0.3">
      <c r="A215" s="20" t="str">
        <f>'All Players'!A189</f>
        <v>yorghul</v>
      </c>
      <c r="B215" s="20">
        <f>COUNTIFS(GameStats!C:C,A215,GameStats!D:D,"1",GameStats!B:B,"&gt;="&amp;$Q$1)</f>
        <v>0</v>
      </c>
      <c r="C215" s="20">
        <f>COUNTIFS(GameStats!C:C,A215,GameStats!B:B,"&gt;="&amp;$Q$1)</f>
        <v>1</v>
      </c>
      <c r="D215" s="22">
        <f t="shared" si="18"/>
        <v>0</v>
      </c>
      <c r="E215" s="31">
        <f>SUMIFS(GameStats!D:D,GameStats!C:C,A215,GameStats!B:B,"&gt;="&amp;$Q$1)/C215</f>
        <v>18</v>
      </c>
      <c r="F215" s="32">
        <f t="shared" si="19"/>
        <v>0.8022284122562674</v>
      </c>
      <c r="G215" s="20">
        <f>COUNTIFS(GameStats!I:I,A215,GameStats!B:B,"&gt;="&amp;$Q$1)</f>
        <v>0</v>
      </c>
      <c r="H215" s="33">
        <f>SUMIFS(GameStats!F:F,GameStats!C:C,A215,GameStats!B:B,"&gt;="&amp;$Q$1)</f>
        <v>288</v>
      </c>
      <c r="I215" s="33">
        <f>SUMIFS(GameStats!G:G,GameStats!C:C,A215,GameStats!B:B,"&gt;="&amp;$Q$1)</f>
        <v>359</v>
      </c>
      <c r="J215" s="33">
        <f t="shared" si="20"/>
        <v>288</v>
      </c>
      <c r="K215" s="33">
        <f t="shared" si="21"/>
        <v>359</v>
      </c>
      <c r="L215" s="32">
        <f t="shared" si="22"/>
        <v>0</v>
      </c>
      <c r="M215" s="29">
        <f>('Elo model'!$E$14*PlayerStats!D189) + ('Elo model'!$F$14*(1/PlayerStats!E189)) + ('Elo model'!$G$14*(PlayerStats!F189/1.75)) + ('Elo model'!$H$14*(PlayerStats!L189/4))</f>
        <v>5.7702922077922075E-2</v>
      </c>
      <c r="N215" s="21">
        <f>_xlfn.MINIFS(GameStats!B:B,GameStats!C:C,A215)</f>
        <v>45422</v>
      </c>
      <c r="O215" s="21">
        <f>_xlfn.MAXIFS(GameStats!B:B,GameStats!C:C,A215)</f>
        <v>45422</v>
      </c>
      <c r="P215" t="b">
        <f t="shared" si="23"/>
        <v>1</v>
      </c>
    </row>
    <row r="216" spans="1:17" customFormat="1" ht="14.4" x14ac:dyDescent="0.3">
      <c r="A216" s="20" t="str">
        <f>'All Players'!A144</f>
        <v>sircogollo</v>
      </c>
      <c r="B216" s="20">
        <f>COUNTIFS(GameStats!C:C,A216,GameStats!D:D,"1",GameStats!B:B,"&gt;="&amp;$Q$1)</f>
        <v>0</v>
      </c>
      <c r="C216" s="20">
        <f>COUNTIFS(GameStats!C:C,A216,GameStats!B:B,"&gt;="&amp;$Q$1)</f>
        <v>1</v>
      </c>
      <c r="D216" s="22">
        <f t="shared" si="18"/>
        <v>0</v>
      </c>
      <c r="E216" s="31">
        <f>SUMIFS(GameStats!D:D,GameStats!C:C,A216,GameStats!B:B,"&gt;="&amp;$Q$1)/C216</f>
        <v>18</v>
      </c>
      <c r="F216" s="32">
        <f t="shared" si="19"/>
        <v>0.65116279069767447</v>
      </c>
      <c r="G216" s="20">
        <f>COUNTIFS(GameStats!I:I,A216,GameStats!B:B,"&gt;="&amp;$Q$1)</f>
        <v>0</v>
      </c>
      <c r="H216" s="33">
        <f>SUMIFS(GameStats!F:F,GameStats!C:C,A216,GameStats!B:B,"&gt;="&amp;$Q$1)</f>
        <v>28</v>
      </c>
      <c r="I216" s="33">
        <f>SUMIFS(GameStats!G:G,GameStats!C:C,A216,GameStats!B:B,"&gt;="&amp;$Q$1)</f>
        <v>43</v>
      </c>
      <c r="J216" s="33">
        <f t="shared" si="20"/>
        <v>28</v>
      </c>
      <c r="K216" s="33">
        <f t="shared" si="21"/>
        <v>43</v>
      </c>
      <c r="L216" s="32">
        <f t="shared" si="22"/>
        <v>0</v>
      </c>
      <c r="M216" s="29">
        <f>('Elo model'!$E$14*PlayerStats!D144) + ('Elo model'!$F$14*(1/PlayerStats!E144)) + ('Elo model'!$G$14*(PlayerStats!F144/1.75)) + ('Elo model'!$H$14*(PlayerStats!L144/4))</f>
        <v>0.15116179001721169</v>
      </c>
      <c r="N216" s="21">
        <f>_xlfn.MINIFS(GameStats!B:B,GameStats!C:C,A216)</f>
        <v>45380</v>
      </c>
      <c r="O216" s="21">
        <f>_xlfn.MAXIFS(GameStats!B:B,GameStats!C:C,A216)</f>
        <v>45380</v>
      </c>
      <c r="P216" t="b">
        <f t="shared" si="23"/>
        <v>1</v>
      </c>
    </row>
    <row r="217" spans="1:17" customFormat="1" ht="14.4" x14ac:dyDescent="0.3">
      <c r="A217" s="20" t="str">
        <f>'All Players'!A68</f>
        <v>Sir8ob</v>
      </c>
      <c r="B217" s="20">
        <f>COUNTIFS(GameStats!C:C,A217,GameStats!D:D,"1",GameStats!B:B,"&gt;="&amp;$Q$1)</f>
        <v>0</v>
      </c>
      <c r="C217" s="20">
        <f>COUNTIFS(GameStats!C:C,A217,GameStats!B:B,"&gt;="&amp;$Q$1)</f>
        <v>1</v>
      </c>
      <c r="D217" s="22">
        <f t="shared" si="18"/>
        <v>0</v>
      </c>
      <c r="E217" s="31">
        <f>SUMIFS(GameStats!D:D,GameStats!C:C,A217,GameStats!B:B,"&gt;="&amp;$Q$1)/C217</f>
        <v>18</v>
      </c>
      <c r="F217" s="32">
        <f t="shared" si="19"/>
        <v>0.70588235294117652</v>
      </c>
      <c r="G217" s="20">
        <f>COUNTIFS(GameStats!I:I,A217,GameStats!B:B,"&gt;="&amp;$Q$1)</f>
        <v>0</v>
      </c>
      <c r="H217" s="33">
        <f>SUMIFS(GameStats!F:F,GameStats!C:C,A217,GameStats!B:B,"&gt;="&amp;$Q$1)</f>
        <v>24</v>
      </c>
      <c r="I217" s="33">
        <f>SUMIFS(GameStats!G:G,GameStats!C:C,A217,GameStats!B:B,"&gt;="&amp;$Q$1)</f>
        <v>34</v>
      </c>
      <c r="J217" s="33">
        <f t="shared" si="20"/>
        <v>24</v>
      </c>
      <c r="K217" s="33">
        <f t="shared" si="21"/>
        <v>34</v>
      </c>
      <c r="L217" s="32">
        <f t="shared" si="22"/>
        <v>0</v>
      </c>
      <c r="M217" s="29">
        <f>('Elo model'!$E$14*PlayerStats!D68) + ('Elo model'!$F$14*(1/PlayerStats!E68)) + ('Elo model'!$G$14*(PlayerStats!F68/1.75)) + ('Elo model'!$H$14*(PlayerStats!L68/4))</f>
        <v>5.0479789799517685E-2</v>
      </c>
      <c r="N217" s="21">
        <f>_xlfn.MINIFS(GameStats!B:B,GameStats!C:C,A217)</f>
        <v>45009</v>
      </c>
      <c r="O217" s="21">
        <f>_xlfn.MAXIFS(GameStats!B:B,GameStats!C:C,A217)</f>
        <v>45009</v>
      </c>
      <c r="P217" t="b">
        <f t="shared" si="23"/>
        <v>1</v>
      </c>
      <c r="Q217" s="20"/>
    </row>
    <row r="218" spans="1:17" customFormat="1" ht="14.4" x14ac:dyDescent="0.3">
      <c r="A218" s="20" t="str">
        <f>'All Players'!A137</f>
        <v>mortengf</v>
      </c>
      <c r="B218" s="20">
        <f>COUNTIFS(GameStats!C:C,A218,GameStats!D:D,"1",GameStats!B:B,"&gt;="&amp;$Q$1)</f>
        <v>0</v>
      </c>
      <c r="C218" s="20">
        <f>COUNTIFS(GameStats!C:C,A218,GameStats!B:B,"&gt;="&amp;$Q$1)</f>
        <v>1</v>
      </c>
      <c r="D218" s="22">
        <f t="shared" si="18"/>
        <v>0</v>
      </c>
      <c r="E218" s="31">
        <f>SUMIFS(GameStats!D:D,GameStats!C:C,A218,GameStats!B:B,"&gt;="&amp;$Q$1)/C218</f>
        <v>18</v>
      </c>
      <c r="F218" s="32">
        <f t="shared" si="19"/>
        <v>0.31578947368421051</v>
      </c>
      <c r="G218" s="20">
        <f>COUNTIFS(GameStats!I:I,A218,GameStats!B:B,"&gt;="&amp;$Q$1)</f>
        <v>0</v>
      </c>
      <c r="H218" s="33">
        <f>SUMIFS(GameStats!F:F,GameStats!C:C,A218,GameStats!B:B,"&gt;="&amp;$Q$1)</f>
        <v>24</v>
      </c>
      <c r="I218" s="33">
        <f>SUMIFS(GameStats!G:G,GameStats!C:C,A218,GameStats!B:B,"&gt;="&amp;$Q$1)</f>
        <v>76</v>
      </c>
      <c r="J218" s="33">
        <f t="shared" si="20"/>
        <v>24</v>
      </c>
      <c r="K218" s="33">
        <f t="shared" si="21"/>
        <v>76</v>
      </c>
      <c r="L218" s="32">
        <f t="shared" si="22"/>
        <v>0</v>
      </c>
      <c r="M218" s="29">
        <f>('Elo model'!$E$14*PlayerStats!D137) + ('Elo model'!$F$14*(1/PlayerStats!E137)) + ('Elo model'!$G$14*(PlayerStats!F137/1.75)) + ('Elo model'!$H$14*(PlayerStats!L137/4))</f>
        <v>0.12694741282339708</v>
      </c>
      <c r="N218" s="21">
        <f>_xlfn.MINIFS(GameStats!B:B,GameStats!C:C,A218)</f>
        <v>45373</v>
      </c>
      <c r="O218" s="21">
        <f>_xlfn.MAXIFS(GameStats!B:B,GameStats!C:C,A218)</f>
        <v>45373</v>
      </c>
      <c r="P218" t="b">
        <f t="shared" si="23"/>
        <v>1</v>
      </c>
    </row>
    <row r="219" spans="1:17" customFormat="1" ht="14.4" x14ac:dyDescent="0.3">
      <c r="A219" s="20" t="str">
        <f>'All Players'!A197</f>
        <v>walfthewolf</v>
      </c>
      <c r="B219" s="20">
        <f>COUNTIFS(GameStats!C:C,A219,GameStats!D:D,"1",GameStats!B:B,"&gt;="&amp;$Q$1)</f>
        <v>0</v>
      </c>
      <c r="C219" s="20">
        <f>COUNTIFS(GameStats!C:C,A219,GameStats!B:B,"&gt;="&amp;$Q$1)</f>
        <v>1</v>
      </c>
      <c r="D219" s="22">
        <f t="shared" si="18"/>
        <v>0</v>
      </c>
      <c r="E219" s="31">
        <f>SUMIFS(GameStats!D:D,GameStats!C:C,A219,GameStats!B:B,"&gt;="&amp;$Q$1)/C219</f>
        <v>18</v>
      </c>
      <c r="F219" s="32">
        <f t="shared" si="19"/>
        <v>0.43877551020408162</v>
      </c>
      <c r="G219" s="20">
        <f>COUNTIFS(GameStats!I:I,A219,GameStats!B:B,"&gt;="&amp;$Q$1)</f>
        <v>0</v>
      </c>
      <c r="H219" s="33">
        <f>SUMIFS(GameStats!F:F,GameStats!C:C,A219,GameStats!B:B,"&gt;="&amp;$Q$1)</f>
        <v>43</v>
      </c>
      <c r="I219" s="33">
        <f>SUMIFS(GameStats!G:G,GameStats!C:C,A219,GameStats!B:B,"&gt;="&amp;$Q$1)</f>
        <v>98</v>
      </c>
      <c r="J219" s="33">
        <f t="shared" si="20"/>
        <v>43</v>
      </c>
      <c r="K219" s="33">
        <f t="shared" si="21"/>
        <v>98</v>
      </c>
      <c r="L219" s="32">
        <f t="shared" si="22"/>
        <v>0</v>
      </c>
      <c r="M219" s="29">
        <f>('Elo model'!$E$14*PlayerStats!D197) + ('Elo model'!$F$14*(1/PlayerStats!E197)) + ('Elo model'!$G$14*(PlayerStats!F197/1.75)) + ('Elo model'!$H$14*(PlayerStats!L197/4))</f>
        <v>2.899159663865546E-2</v>
      </c>
      <c r="N219" s="21">
        <f>_xlfn.MINIFS(GameStats!B:B,GameStats!C:C,A219)</f>
        <v>45429</v>
      </c>
      <c r="O219" s="21">
        <f>_xlfn.MAXIFS(GameStats!B:B,GameStats!C:C,A219)</f>
        <v>45429</v>
      </c>
      <c r="P219" t="b">
        <f t="shared" si="23"/>
        <v>1</v>
      </c>
    </row>
    <row r="220" spans="1:17" customFormat="1" ht="14.4" x14ac:dyDescent="0.3">
      <c r="A220" s="20" t="str">
        <f>'All Players'!A210</f>
        <v>Rocbury</v>
      </c>
      <c r="B220" s="20">
        <f>COUNTIFS(GameStats!C:C,A220,GameStats!D:D,"1",GameStats!B:B,"&gt;="&amp;$Q$1)</f>
        <v>0</v>
      </c>
      <c r="C220" s="20">
        <f>COUNTIFS(GameStats!C:C,A220,GameStats!B:B,"&gt;="&amp;$Q$1)</f>
        <v>1</v>
      </c>
      <c r="D220" s="22">
        <f t="shared" si="18"/>
        <v>0</v>
      </c>
      <c r="E220" s="31">
        <f>SUMIFS(GameStats!D:D,GameStats!C:C,A220,GameStats!B:B,"&gt;="&amp;$Q$1)/C220</f>
        <v>18</v>
      </c>
      <c r="F220" s="32">
        <f t="shared" si="19"/>
        <v>0.63265306122448983</v>
      </c>
      <c r="G220" s="20">
        <f>COUNTIFS(GameStats!I:I,A220,GameStats!B:B,"&gt;="&amp;$Q$1)</f>
        <v>0</v>
      </c>
      <c r="H220" s="33">
        <f>SUMIFS(GameStats!F:F,GameStats!C:C,A220,GameStats!B:B,"&gt;="&amp;$Q$1)</f>
        <v>31</v>
      </c>
      <c r="I220" s="33">
        <f>SUMIFS(GameStats!G:G,GameStats!C:C,A220,GameStats!B:B,"&gt;="&amp;$Q$1)</f>
        <v>49</v>
      </c>
      <c r="J220" s="33">
        <f t="shared" si="20"/>
        <v>31</v>
      </c>
      <c r="K220" s="33">
        <f t="shared" si="21"/>
        <v>49</v>
      </c>
      <c r="L220" s="32">
        <f t="shared" si="22"/>
        <v>0</v>
      </c>
      <c r="M220" s="29">
        <f>('Elo model'!$E$14*PlayerStats!D210) + ('Elo model'!$F$14*(1/PlayerStats!E210)) + ('Elo model'!$G$14*(PlayerStats!F210/1.75)) + ('Elo model'!$H$14*(PlayerStats!L210/4))</f>
        <v>5.6746031746031739E-2</v>
      </c>
      <c r="N220" s="21">
        <f>_xlfn.MINIFS(GameStats!B:B,GameStats!C:C,A220)</f>
        <v>45443</v>
      </c>
      <c r="O220" s="21">
        <f>_xlfn.MAXIFS(GameStats!B:B,GameStats!C:C,A220)</f>
        <v>45443</v>
      </c>
      <c r="P220" t="b">
        <f t="shared" si="23"/>
        <v>1</v>
      </c>
    </row>
    <row r="221" spans="1:17" customFormat="1" ht="14.4" x14ac:dyDescent="0.3">
      <c r="A221" s="20" t="str">
        <f>'All Players'!A274</f>
        <v>mikeyz7</v>
      </c>
      <c r="B221" s="20">
        <f>COUNTIFS(GameStats!C:C,A221,GameStats!D:D,"1",GameStats!B:B,"&gt;="&amp;$Q$1)</f>
        <v>0</v>
      </c>
      <c r="C221" s="20">
        <f>COUNTIFS(GameStats!C:C,A221,GameStats!B:B,"&gt;="&amp;$Q$1)</f>
        <v>1</v>
      </c>
      <c r="D221" s="22">
        <f t="shared" si="18"/>
        <v>0</v>
      </c>
      <c r="E221" s="31">
        <f>SUMIFS(GameStats!D:D,GameStats!C:C,A221,GameStats!B:B,"&gt;="&amp;$Q$1)/C221</f>
        <v>18</v>
      </c>
      <c r="F221" s="32">
        <f t="shared" si="19"/>
        <v>0.85135135135135132</v>
      </c>
      <c r="G221" s="20">
        <f>COUNTIFS(GameStats!I:I,A221,GameStats!B:B,"&gt;="&amp;$Q$1)</f>
        <v>0</v>
      </c>
      <c r="H221" s="33">
        <f>SUMIFS(GameStats!F:F,GameStats!C:C,A221,GameStats!B:B,"&gt;="&amp;$Q$1)</f>
        <v>63</v>
      </c>
      <c r="I221" s="33">
        <f>SUMIFS(GameStats!G:G,GameStats!C:C,A221,GameStats!B:B,"&gt;="&amp;$Q$1)</f>
        <v>74</v>
      </c>
      <c r="J221" s="33">
        <f t="shared" si="20"/>
        <v>63</v>
      </c>
      <c r="K221" s="33">
        <f t="shared" si="21"/>
        <v>74</v>
      </c>
      <c r="L221" s="32">
        <f t="shared" si="22"/>
        <v>0</v>
      </c>
      <c r="M221" s="29">
        <f>('Elo model'!$E$14*PlayerStats!D274) + ('Elo model'!$F$14*(1/PlayerStats!E274)) + ('Elo model'!$G$14*(PlayerStats!F274/1.75)) + ('Elo model'!$H$14*(PlayerStats!L274/4))</f>
        <v>4.8376623376623379E-2</v>
      </c>
      <c r="N221" s="21">
        <f>_xlfn.MINIFS(GameStats!B:B,GameStats!C:C,A221)</f>
        <v>45541</v>
      </c>
      <c r="O221" s="21">
        <f>_xlfn.MAXIFS(GameStats!B:B,GameStats!C:C,A221)</f>
        <v>45541</v>
      </c>
      <c r="P221" t="b">
        <f t="shared" si="23"/>
        <v>1</v>
      </c>
    </row>
    <row r="222" spans="1:17" customFormat="1" ht="14.4" x14ac:dyDescent="0.3">
      <c r="A222" s="20" t="str">
        <f>'All Players'!A279</f>
        <v>kararpvp</v>
      </c>
      <c r="B222" s="20">
        <f>COUNTIFS(GameStats!C:C,A222,GameStats!D:D,"1",GameStats!B:B,"&gt;="&amp;$Q$1)</f>
        <v>0</v>
      </c>
      <c r="C222" s="20">
        <f>COUNTIFS(GameStats!C:C,A222,GameStats!B:B,"&gt;="&amp;$Q$1)</f>
        <v>1</v>
      </c>
      <c r="D222" s="22">
        <f t="shared" si="18"/>
        <v>0</v>
      </c>
      <c r="E222" s="31">
        <f>SUMIFS(GameStats!D:D,GameStats!C:C,A222,GameStats!B:B,"&gt;="&amp;$Q$1)/C222</f>
        <v>18</v>
      </c>
      <c r="F222" s="32">
        <f t="shared" si="19"/>
        <v>0.53548387096774197</v>
      </c>
      <c r="G222" s="20">
        <f>COUNTIFS(GameStats!I:I,A222,GameStats!B:B,"&gt;="&amp;$Q$1)</f>
        <v>0</v>
      </c>
      <c r="H222" s="33">
        <f>SUMIFS(GameStats!F:F,GameStats!C:C,A222,GameStats!B:B,"&gt;="&amp;$Q$1)</f>
        <v>83</v>
      </c>
      <c r="I222" s="33">
        <f>SUMIFS(GameStats!G:G,GameStats!C:C,A222,GameStats!B:B,"&gt;="&amp;$Q$1)</f>
        <v>155</v>
      </c>
      <c r="J222" s="33">
        <f t="shared" si="20"/>
        <v>83</v>
      </c>
      <c r="K222" s="33">
        <f t="shared" si="21"/>
        <v>155</v>
      </c>
      <c r="L222" s="32">
        <f t="shared" si="22"/>
        <v>0</v>
      </c>
      <c r="M222" s="29">
        <f>('Elo model'!$E$14*PlayerStats!D279) + ('Elo model'!$F$14*(1/PlayerStats!E279)) + ('Elo model'!$G$14*(PlayerStats!F279/1.75)) + ('Elo model'!$H$14*(PlayerStats!L279/4))</f>
        <v>7.0951107715813602E-2</v>
      </c>
      <c r="N222" s="21">
        <f>_xlfn.MINIFS(GameStats!B:B,GameStats!C:C,A222)</f>
        <v>45548</v>
      </c>
      <c r="O222" s="21">
        <f>_xlfn.MAXIFS(GameStats!B:B,GameStats!C:C,A222)</f>
        <v>45548</v>
      </c>
      <c r="P222" t="b">
        <f t="shared" si="23"/>
        <v>1</v>
      </c>
    </row>
    <row r="223" spans="1:17" customFormat="1" ht="14.4" x14ac:dyDescent="0.3">
      <c r="A223" s="20" t="str">
        <f>'All Players'!A288</f>
        <v>DROP</v>
      </c>
      <c r="B223" s="20">
        <f>COUNTIFS(GameStats!C:C,A223,GameStats!D:D,"1",GameStats!B:B,"&gt;="&amp;$Q$1)</f>
        <v>0</v>
      </c>
      <c r="C223" s="20">
        <f>COUNTIFS(GameStats!C:C,A223,GameStats!B:B,"&gt;="&amp;$Q$1)</f>
        <v>1</v>
      </c>
      <c r="D223" s="22">
        <f t="shared" si="18"/>
        <v>0</v>
      </c>
      <c r="E223" s="31">
        <f>SUMIFS(GameStats!D:D,GameStats!C:C,A223,GameStats!B:B,"&gt;="&amp;$Q$1)/C223</f>
        <v>18</v>
      </c>
      <c r="F223" s="32">
        <f t="shared" si="19"/>
        <v>0.55696202531645567</v>
      </c>
      <c r="G223" s="20">
        <f>COUNTIFS(GameStats!I:I,A223,GameStats!B:B,"&gt;="&amp;$Q$1)</f>
        <v>0</v>
      </c>
      <c r="H223" s="33">
        <f>SUMIFS(GameStats!F:F,GameStats!C:C,A223,GameStats!B:B,"&gt;="&amp;$Q$1)</f>
        <v>44</v>
      </c>
      <c r="I223" s="33">
        <f>SUMIFS(GameStats!G:G,GameStats!C:C,A223,GameStats!B:B,"&gt;="&amp;$Q$1)</f>
        <v>79</v>
      </c>
      <c r="J223" s="33">
        <f t="shared" si="20"/>
        <v>44</v>
      </c>
      <c r="K223" s="33">
        <f t="shared" si="21"/>
        <v>79</v>
      </c>
      <c r="L223" s="32">
        <f t="shared" si="22"/>
        <v>0</v>
      </c>
      <c r="M223" s="29">
        <f>('Elo model'!$E$14*PlayerStats!D288) + ('Elo model'!$F$14*(1/PlayerStats!E288)) + ('Elo model'!$G$14*(PlayerStats!F288/1.75)) + ('Elo model'!$H$14*(PlayerStats!L288/4))</f>
        <v>5.4453100326350139E-2</v>
      </c>
      <c r="N223" s="21">
        <f>_xlfn.MINIFS(GameStats!B:B,GameStats!C:C,A223)</f>
        <v>45562</v>
      </c>
      <c r="O223" s="21">
        <f>_xlfn.MAXIFS(GameStats!B:B,GameStats!C:C,A223)</f>
        <v>45562</v>
      </c>
      <c r="P223" t="b">
        <f t="shared" si="23"/>
        <v>1</v>
      </c>
    </row>
    <row r="224" spans="1:17" customFormat="1" ht="14.4" x14ac:dyDescent="0.3">
      <c r="A224" s="20" t="str">
        <f>'All Players'!A20</f>
        <v>INSANEMONKEY</v>
      </c>
      <c r="B224" s="20">
        <f>COUNTIFS(GameStats!C:C,A224,GameStats!D:D,"1",GameStats!B:B,"&gt;="&amp;$Q$1)</f>
        <v>0</v>
      </c>
      <c r="C224" s="20">
        <f>COUNTIFS(GameStats!C:C,A224,GameStats!B:B,"&gt;="&amp;$Q$1)</f>
        <v>1</v>
      </c>
      <c r="D224" s="22">
        <f t="shared" si="18"/>
        <v>0</v>
      </c>
      <c r="E224" s="31">
        <f>SUMIFS(GameStats!D:D,GameStats!C:C,A224,GameStats!B:B,"&gt;="&amp;$Q$1)/C224</f>
        <v>19</v>
      </c>
      <c r="F224" s="32">
        <f t="shared" si="19"/>
        <v>0.56578947368421051</v>
      </c>
      <c r="G224" s="20">
        <f>COUNTIFS(GameStats!I:I,A224,GameStats!B:B,"&gt;="&amp;$Q$1)</f>
        <v>0</v>
      </c>
      <c r="H224" s="33">
        <f>SUMIFS(GameStats!F:F,GameStats!C:C,A224,GameStats!B:B,"&gt;="&amp;$Q$1)</f>
        <v>43</v>
      </c>
      <c r="I224" s="33">
        <f>SUMIFS(GameStats!G:G,GameStats!C:C,A224,GameStats!B:B,"&gt;="&amp;$Q$1)</f>
        <v>76</v>
      </c>
      <c r="J224" s="33">
        <f t="shared" si="20"/>
        <v>43</v>
      </c>
      <c r="K224" s="33">
        <f t="shared" si="21"/>
        <v>76</v>
      </c>
      <c r="L224" s="32">
        <f t="shared" si="22"/>
        <v>0</v>
      </c>
      <c r="M224" s="29">
        <f>('Elo model'!$E$14*PlayerStats!D20) + ('Elo model'!$F$14*(1/PlayerStats!E20)) + ('Elo model'!$G$14*(PlayerStats!F20/1.75)) + ('Elo model'!$H$14*(PlayerStats!L20/4))</f>
        <v>0.11642388959943885</v>
      </c>
      <c r="N224" s="21">
        <f>_xlfn.MINIFS(GameStats!B:B,GameStats!C:C,A224)</f>
        <v>44967</v>
      </c>
      <c r="O224" s="21">
        <f>_xlfn.MAXIFS(GameStats!B:B,GameStats!C:C,A224)</f>
        <v>44967</v>
      </c>
      <c r="P224" t="b">
        <f t="shared" si="23"/>
        <v>1</v>
      </c>
    </row>
    <row r="225" spans="1:17" customFormat="1" ht="14.4" x14ac:dyDescent="0.3">
      <c r="A225" s="20" t="str">
        <f>'All Players'!A111</f>
        <v>iMrDoom</v>
      </c>
      <c r="B225" s="20">
        <f>COUNTIFS(GameStats!C:C,A225,GameStats!D:D,"1",GameStats!B:B,"&gt;="&amp;$Q$1)</f>
        <v>0</v>
      </c>
      <c r="C225" s="20">
        <f>COUNTIFS(GameStats!C:C,A225,GameStats!B:B,"&gt;="&amp;$Q$1)</f>
        <v>1</v>
      </c>
      <c r="D225" s="22">
        <f t="shared" si="18"/>
        <v>0</v>
      </c>
      <c r="E225" s="31">
        <f>SUMIFS(GameStats!D:D,GameStats!C:C,A225,GameStats!B:B,"&gt;="&amp;$Q$1)/C225</f>
        <v>19</v>
      </c>
      <c r="F225" s="32">
        <f t="shared" si="19"/>
        <v>0.42222222222222222</v>
      </c>
      <c r="G225" s="20">
        <f>COUNTIFS(GameStats!I:I,A225,GameStats!B:B,"&gt;="&amp;$Q$1)</f>
        <v>0</v>
      </c>
      <c r="H225" s="33">
        <f>SUMIFS(GameStats!F:F,GameStats!C:C,A225,GameStats!B:B,"&gt;="&amp;$Q$1)</f>
        <v>19</v>
      </c>
      <c r="I225" s="33">
        <f>SUMIFS(GameStats!G:G,GameStats!C:C,A225,GameStats!B:B,"&gt;="&amp;$Q$1)</f>
        <v>45</v>
      </c>
      <c r="J225" s="33">
        <f t="shared" si="20"/>
        <v>19</v>
      </c>
      <c r="K225" s="33">
        <f t="shared" si="21"/>
        <v>45</v>
      </c>
      <c r="L225" s="32">
        <f t="shared" si="22"/>
        <v>0</v>
      </c>
      <c r="M225" s="29">
        <f>('Elo model'!$E$14*PlayerStats!D111) + ('Elo model'!$F$14*(1/PlayerStats!E111)) + ('Elo model'!$G$14*(PlayerStats!F111/1.75)) + ('Elo model'!$H$14*(PlayerStats!L111/4))</f>
        <v>6.7839469247919948E-2</v>
      </c>
      <c r="N225" s="21">
        <f>_xlfn.MINIFS(GameStats!B:B,GameStats!C:C,A225)</f>
        <v>45037</v>
      </c>
      <c r="O225" s="21">
        <f>_xlfn.MAXIFS(GameStats!B:B,GameStats!C:C,A225)</f>
        <v>45037</v>
      </c>
      <c r="P225" t="b">
        <f t="shared" si="23"/>
        <v>1</v>
      </c>
      <c r="Q225" s="20"/>
    </row>
    <row r="226" spans="1:17" customFormat="1" ht="14.4" x14ac:dyDescent="0.3">
      <c r="A226" s="20" t="str">
        <f>'All Players'!A92</f>
        <v>Weik</v>
      </c>
      <c r="B226" s="20">
        <f>COUNTIFS(GameStats!C:C,A226,GameStats!D:D,"1",GameStats!B:B,"&gt;="&amp;$Q$1)</f>
        <v>0</v>
      </c>
      <c r="C226" s="20">
        <f>COUNTIFS(GameStats!C:C,A226,GameStats!B:B,"&gt;="&amp;$Q$1)</f>
        <v>1</v>
      </c>
      <c r="D226" s="22">
        <f t="shared" si="18"/>
        <v>0</v>
      </c>
      <c r="E226" s="31">
        <f>SUMIFS(GameStats!D:D,GameStats!C:C,A226,GameStats!B:B,"&gt;="&amp;$Q$1)/C226</f>
        <v>19</v>
      </c>
      <c r="F226" s="32">
        <f t="shared" si="19"/>
        <v>0.7678571428571429</v>
      </c>
      <c r="G226" s="20">
        <f>COUNTIFS(GameStats!I:I,A226,GameStats!B:B,"&gt;="&amp;$Q$1)</f>
        <v>0</v>
      </c>
      <c r="H226" s="33">
        <f>SUMIFS(GameStats!F:F,GameStats!C:C,A226,GameStats!B:B,"&gt;="&amp;$Q$1)</f>
        <v>43</v>
      </c>
      <c r="I226" s="33">
        <f>SUMIFS(GameStats!G:G,GameStats!C:C,A226,GameStats!B:B,"&gt;="&amp;$Q$1)</f>
        <v>56</v>
      </c>
      <c r="J226" s="33">
        <f t="shared" si="20"/>
        <v>43</v>
      </c>
      <c r="K226" s="33">
        <f t="shared" si="21"/>
        <v>56</v>
      </c>
      <c r="L226" s="32">
        <f t="shared" si="22"/>
        <v>0</v>
      </c>
      <c r="M226" s="29">
        <f>('Elo model'!$E$14*PlayerStats!D92) + ('Elo model'!$F$14*(1/PlayerStats!E92)) + ('Elo model'!$G$14*(PlayerStats!F92/1.75)) + ('Elo model'!$H$14*(PlayerStats!L92/4))</f>
        <v>0.45907590759075906</v>
      </c>
      <c r="N226" s="21">
        <f>_xlfn.MINIFS(GameStats!B:B,GameStats!C:C,A226)</f>
        <v>45023</v>
      </c>
      <c r="O226" s="21">
        <f>_xlfn.MAXIFS(GameStats!B:B,GameStats!C:C,A226)</f>
        <v>45023</v>
      </c>
      <c r="P226" t="b">
        <f t="shared" si="23"/>
        <v>1</v>
      </c>
      <c r="Q226" s="20"/>
    </row>
    <row r="227" spans="1:17" customFormat="1" ht="14.4" x14ac:dyDescent="0.3">
      <c r="A227" s="20" t="str">
        <f>'All Players'!A211</f>
        <v>Jeppe</v>
      </c>
      <c r="B227" s="20">
        <f>COUNTIFS(GameStats!C:C,A227,GameStats!D:D,"1",GameStats!B:B,"&gt;="&amp;$Q$1)</f>
        <v>0</v>
      </c>
      <c r="C227" s="20">
        <f>COUNTIFS(GameStats!C:C,A227,GameStats!B:B,"&gt;="&amp;$Q$1)</f>
        <v>1</v>
      </c>
      <c r="D227" s="22">
        <f t="shared" si="18"/>
        <v>0</v>
      </c>
      <c r="E227" s="31">
        <f>SUMIFS(GameStats!D:D,GameStats!C:C,A227,GameStats!B:B,"&gt;="&amp;$Q$1)/C227</f>
        <v>19</v>
      </c>
      <c r="F227" s="32">
        <f t="shared" si="19"/>
        <v>0.57692307692307687</v>
      </c>
      <c r="G227" s="20">
        <f>COUNTIFS(GameStats!I:I,A227,GameStats!B:B,"&gt;="&amp;$Q$1)</f>
        <v>0</v>
      </c>
      <c r="H227" s="33">
        <f>SUMIFS(GameStats!F:F,GameStats!C:C,A227,GameStats!B:B,"&gt;="&amp;$Q$1)</f>
        <v>15</v>
      </c>
      <c r="I227" s="33">
        <f>SUMIFS(GameStats!G:G,GameStats!C:C,A227,GameStats!B:B,"&gt;="&amp;$Q$1)</f>
        <v>26</v>
      </c>
      <c r="J227" s="33">
        <f t="shared" si="20"/>
        <v>15</v>
      </c>
      <c r="K227" s="33">
        <f t="shared" si="21"/>
        <v>26</v>
      </c>
      <c r="L227" s="32">
        <f t="shared" si="22"/>
        <v>0</v>
      </c>
      <c r="M227" s="29">
        <f>('Elo model'!$E$14*PlayerStats!D211) + ('Elo model'!$F$14*(1/PlayerStats!E211)) + ('Elo model'!$G$14*(PlayerStats!F211/1.75)) + ('Elo model'!$H$14*(PlayerStats!L211/4))</f>
        <v>7.79164276152228E-2</v>
      </c>
      <c r="N227" s="21">
        <f>_xlfn.MINIFS(GameStats!B:B,GameStats!C:C,A227)</f>
        <v>45443</v>
      </c>
      <c r="O227" s="21">
        <f>_xlfn.MAXIFS(GameStats!B:B,GameStats!C:C,A227)</f>
        <v>45443</v>
      </c>
      <c r="P227" t="b">
        <f t="shared" si="23"/>
        <v>1</v>
      </c>
    </row>
    <row r="228" spans="1:17" customFormat="1" ht="14.4" x14ac:dyDescent="0.3">
      <c r="A228" s="20" t="str">
        <f>'All Players'!A227</f>
        <v>1370H55V</v>
      </c>
      <c r="B228" s="20">
        <f>COUNTIFS(GameStats!C:C,A228,GameStats!D:D,"1",GameStats!B:B,"&gt;="&amp;$Q$1)</f>
        <v>0</v>
      </c>
      <c r="C228" s="20">
        <f>COUNTIFS(GameStats!C:C,A228,GameStats!B:B,"&gt;="&amp;$Q$1)</f>
        <v>1</v>
      </c>
      <c r="D228" s="22">
        <f t="shared" si="18"/>
        <v>0</v>
      </c>
      <c r="E228" s="31">
        <f>SUMIFS(GameStats!D:D,GameStats!C:C,A228,GameStats!B:B,"&gt;="&amp;$Q$1)/C228</f>
        <v>19</v>
      </c>
      <c r="F228" s="32">
        <f t="shared" si="19"/>
        <v>0.60377358490566035</v>
      </c>
      <c r="G228" s="20">
        <f>COUNTIFS(GameStats!I:I,A228,GameStats!B:B,"&gt;="&amp;$Q$1)</f>
        <v>0</v>
      </c>
      <c r="H228" s="33">
        <f>SUMIFS(GameStats!F:F,GameStats!C:C,A228,GameStats!B:B,"&gt;="&amp;$Q$1)</f>
        <v>32</v>
      </c>
      <c r="I228" s="33">
        <f>SUMIFS(GameStats!G:G,GameStats!C:C,A228,GameStats!B:B,"&gt;="&amp;$Q$1)</f>
        <v>53</v>
      </c>
      <c r="J228" s="33">
        <f t="shared" si="20"/>
        <v>32</v>
      </c>
      <c r="K228" s="33">
        <f t="shared" si="21"/>
        <v>53</v>
      </c>
      <c r="L228" s="32">
        <f t="shared" si="22"/>
        <v>0</v>
      </c>
      <c r="M228" s="29">
        <f>('Elo model'!$E$14*PlayerStats!D227) + ('Elo model'!$F$14*(1/PlayerStats!E227)) + ('Elo model'!$G$14*(PlayerStats!F227/1.75)) + ('Elo model'!$H$14*(PlayerStats!L227/4))</f>
        <v>6.260844418739156E-2</v>
      </c>
      <c r="N228" s="21">
        <f>_xlfn.MINIFS(GameStats!B:B,GameStats!C:C,A228)</f>
        <v>45464</v>
      </c>
      <c r="O228" s="21">
        <f>_xlfn.MAXIFS(GameStats!B:B,GameStats!C:C,A228)</f>
        <v>45464</v>
      </c>
      <c r="P228" t="b">
        <f t="shared" si="23"/>
        <v>1</v>
      </c>
    </row>
    <row r="229" spans="1:17" customFormat="1" ht="14.4" x14ac:dyDescent="0.3">
      <c r="A229" s="20" t="str">
        <f>'All Players'!A250</f>
        <v>krampus</v>
      </c>
      <c r="B229" s="20">
        <f>COUNTIFS(GameStats!C:C,A229,GameStats!D:D,"1",GameStats!B:B,"&gt;="&amp;$Q$1)</f>
        <v>0</v>
      </c>
      <c r="C229" s="20">
        <f>COUNTIFS(GameStats!C:C,A229,GameStats!B:B,"&gt;="&amp;$Q$1)</f>
        <v>1</v>
      </c>
      <c r="D229" s="22">
        <f t="shared" si="18"/>
        <v>0</v>
      </c>
      <c r="E229" s="31">
        <f>SUMIFS(GameStats!D:D,GameStats!C:C,A229,GameStats!B:B,"&gt;="&amp;$Q$1)/C229</f>
        <v>19</v>
      </c>
      <c r="F229" s="32">
        <f t="shared" si="19"/>
        <v>0.99122807017543857</v>
      </c>
      <c r="G229" s="20">
        <f>COUNTIFS(GameStats!I:I,A229,GameStats!B:B,"&gt;="&amp;$Q$1)</f>
        <v>1</v>
      </c>
      <c r="H229" s="33">
        <f>SUMIFS(GameStats!F:F,GameStats!C:C,A229,GameStats!B:B,"&gt;="&amp;$Q$1)</f>
        <v>113</v>
      </c>
      <c r="I229" s="33">
        <f>SUMIFS(GameStats!G:G,GameStats!C:C,A229,GameStats!B:B,"&gt;="&amp;$Q$1)</f>
        <v>114</v>
      </c>
      <c r="J229" s="33">
        <f t="shared" si="20"/>
        <v>113</v>
      </c>
      <c r="K229" s="33">
        <f t="shared" si="21"/>
        <v>114</v>
      </c>
      <c r="L229" s="32">
        <f t="shared" si="22"/>
        <v>1</v>
      </c>
      <c r="M229" s="29">
        <f>('Elo model'!$E$14*PlayerStats!D250) + ('Elo model'!$F$14*(1/PlayerStats!E250)) + ('Elo model'!$G$14*(PlayerStats!F250/1.75)) + ('Elo model'!$H$14*(PlayerStats!L250/4))</f>
        <v>5.0328407224958953E-2</v>
      </c>
      <c r="N229" s="21">
        <f>_xlfn.MINIFS(GameStats!B:B,GameStats!C:C,A229)</f>
        <v>45499</v>
      </c>
      <c r="O229" s="21">
        <f>_xlfn.MAXIFS(GameStats!B:B,GameStats!C:C,A229)</f>
        <v>45499</v>
      </c>
      <c r="P229" t="b">
        <f t="shared" si="23"/>
        <v>1</v>
      </c>
    </row>
    <row r="230" spans="1:17" customFormat="1" ht="14.4" x14ac:dyDescent="0.3">
      <c r="A230" s="20" t="str">
        <f>'All Players'!A260</f>
        <v>Vixen</v>
      </c>
      <c r="B230" s="20">
        <f>COUNTIFS(GameStats!C:C,A230,GameStats!D:D,"1",GameStats!B:B,"&gt;="&amp;$Q$1)</f>
        <v>0</v>
      </c>
      <c r="C230" s="20">
        <f>COUNTIFS(GameStats!C:C,A230,GameStats!B:B,"&gt;="&amp;$Q$1)</f>
        <v>1</v>
      </c>
      <c r="D230" s="22">
        <f t="shared" si="18"/>
        <v>0</v>
      </c>
      <c r="E230" s="31">
        <f>SUMIFS(GameStats!D:D,GameStats!C:C,A230,GameStats!B:B,"&gt;="&amp;$Q$1)/C230</f>
        <v>19</v>
      </c>
      <c r="F230" s="32">
        <f t="shared" si="19"/>
        <v>0.67647058823529416</v>
      </c>
      <c r="G230" s="20">
        <f>COUNTIFS(GameStats!I:I,A230,GameStats!B:B,"&gt;="&amp;$Q$1)</f>
        <v>0</v>
      </c>
      <c r="H230" s="33">
        <f>SUMIFS(GameStats!F:F,GameStats!C:C,A230,GameStats!B:B,"&gt;="&amp;$Q$1)</f>
        <v>23</v>
      </c>
      <c r="I230" s="33">
        <f>SUMIFS(GameStats!G:G,GameStats!C:C,A230,GameStats!B:B,"&gt;="&amp;$Q$1)</f>
        <v>34</v>
      </c>
      <c r="J230" s="33">
        <f t="shared" si="20"/>
        <v>23</v>
      </c>
      <c r="K230" s="33">
        <f t="shared" si="21"/>
        <v>34</v>
      </c>
      <c r="L230" s="32">
        <f t="shared" si="22"/>
        <v>0</v>
      </c>
      <c r="M230" s="29">
        <f>('Elo model'!$E$14*PlayerStats!D260) + ('Elo model'!$F$14*(1/PlayerStats!E260)) + ('Elo model'!$G$14*(PlayerStats!F260/1.75)) + ('Elo model'!$H$14*(PlayerStats!L260/4))</f>
        <v>5.7717569786535299E-2</v>
      </c>
      <c r="N230" s="21">
        <f>_xlfn.MINIFS(GameStats!B:B,GameStats!C:C,A230)</f>
        <v>45513</v>
      </c>
      <c r="O230" s="21">
        <f>_xlfn.MAXIFS(GameStats!B:B,GameStats!C:C,A230)</f>
        <v>45513</v>
      </c>
      <c r="P230" t="b">
        <f t="shared" si="23"/>
        <v>1</v>
      </c>
    </row>
    <row r="231" spans="1:17" customFormat="1" ht="14.4" x14ac:dyDescent="0.3">
      <c r="A231" s="20" t="str">
        <f>'All Players'!A280</f>
        <v>Milk</v>
      </c>
      <c r="B231" s="20">
        <f>COUNTIFS(GameStats!C:C,A231,GameStats!D:D,"1",GameStats!B:B,"&gt;="&amp;$Q$1)</f>
        <v>0</v>
      </c>
      <c r="C231" s="20">
        <f>COUNTIFS(GameStats!C:C,A231,GameStats!B:B,"&gt;="&amp;$Q$1)</f>
        <v>1</v>
      </c>
      <c r="D231" s="22">
        <f t="shared" si="18"/>
        <v>0</v>
      </c>
      <c r="E231" s="31">
        <f>SUMIFS(GameStats!D:D,GameStats!C:C,A231,GameStats!B:B,"&gt;="&amp;$Q$1)/C231</f>
        <v>19</v>
      </c>
      <c r="F231" s="32">
        <f t="shared" si="19"/>
        <v>0.46031746031746029</v>
      </c>
      <c r="G231" s="20">
        <f>COUNTIFS(GameStats!I:I,A231,GameStats!B:B,"&gt;="&amp;$Q$1)</f>
        <v>0</v>
      </c>
      <c r="H231" s="33">
        <f>SUMIFS(GameStats!F:F,GameStats!C:C,A231,GameStats!B:B,"&gt;="&amp;$Q$1)</f>
        <v>29</v>
      </c>
      <c r="I231" s="33">
        <f>SUMIFS(GameStats!G:G,GameStats!C:C,A231,GameStats!B:B,"&gt;="&amp;$Q$1)</f>
        <v>63</v>
      </c>
      <c r="J231" s="33">
        <f t="shared" si="20"/>
        <v>29</v>
      </c>
      <c r="K231" s="33">
        <f t="shared" si="21"/>
        <v>63</v>
      </c>
      <c r="L231" s="32">
        <f t="shared" si="22"/>
        <v>0</v>
      </c>
      <c r="M231" s="29">
        <f>('Elo model'!$E$14*PlayerStats!D280) + ('Elo model'!$F$14*(1/PlayerStats!E280)) + ('Elo model'!$G$14*(PlayerStats!F280/1.75)) + ('Elo model'!$H$14*(PlayerStats!L280/4))</f>
        <v>0.16136363636363635</v>
      </c>
      <c r="N231" s="21">
        <f>_xlfn.MINIFS(GameStats!B:B,GameStats!C:C,A231)</f>
        <v>45548</v>
      </c>
      <c r="O231" s="21">
        <f>_xlfn.MAXIFS(GameStats!B:B,GameStats!C:C,A231)</f>
        <v>45548</v>
      </c>
      <c r="P231" t="b">
        <f t="shared" si="23"/>
        <v>1</v>
      </c>
    </row>
    <row r="232" spans="1:17" customFormat="1" ht="14.4" x14ac:dyDescent="0.3">
      <c r="A232" s="20" t="str">
        <f>'All Players'!A284</f>
        <v>Edboii</v>
      </c>
      <c r="B232" s="20">
        <f>COUNTIFS(GameStats!C:C,A232,GameStats!D:D,"1",GameStats!B:B,"&gt;="&amp;$Q$1)</f>
        <v>0</v>
      </c>
      <c r="C232" s="20">
        <f>COUNTIFS(GameStats!C:C,A232,GameStats!B:B,"&gt;="&amp;$Q$1)</f>
        <v>1</v>
      </c>
      <c r="D232" s="22">
        <f t="shared" si="18"/>
        <v>0</v>
      </c>
      <c r="E232" s="31">
        <f>SUMIFS(GameStats!D:D,GameStats!C:C,A232,GameStats!B:B,"&gt;="&amp;$Q$1)/C232</f>
        <v>19</v>
      </c>
      <c r="F232" s="32">
        <f t="shared" si="19"/>
        <v>1.0909090909090908</v>
      </c>
      <c r="G232" s="20">
        <f>COUNTIFS(GameStats!I:I,A232,GameStats!B:B,"&gt;="&amp;$Q$1)</f>
        <v>0</v>
      </c>
      <c r="H232" s="33">
        <f>SUMIFS(GameStats!F:F,GameStats!C:C,A232,GameStats!B:B,"&gt;="&amp;$Q$1)</f>
        <v>36</v>
      </c>
      <c r="I232" s="33">
        <f>SUMIFS(GameStats!G:G,GameStats!C:C,A232,GameStats!B:B,"&gt;="&amp;$Q$1)</f>
        <v>33</v>
      </c>
      <c r="J232" s="33">
        <f t="shared" si="20"/>
        <v>36</v>
      </c>
      <c r="K232" s="33">
        <f t="shared" si="21"/>
        <v>33</v>
      </c>
      <c r="L232" s="32">
        <f t="shared" si="22"/>
        <v>0</v>
      </c>
      <c r="M232" s="29">
        <f>('Elo model'!$E$14*PlayerStats!D284) + ('Elo model'!$F$14*(1/PlayerStats!E284)) + ('Elo model'!$G$14*(PlayerStats!F284/1.75)) + ('Elo model'!$H$14*(PlayerStats!L284/4))</f>
        <v>0.11372670807453417</v>
      </c>
      <c r="N232" s="21">
        <f>_xlfn.MINIFS(GameStats!B:B,GameStats!C:C,A232)</f>
        <v>45555</v>
      </c>
      <c r="O232" s="21">
        <f>_xlfn.MAXIFS(GameStats!B:B,GameStats!C:C,A232)</f>
        <v>45555</v>
      </c>
      <c r="P232" t="b">
        <f t="shared" si="23"/>
        <v>1</v>
      </c>
    </row>
    <row r="233" spans="1:17" customFormat="1" ht="14.4" x14ac:dyDescent="0.3">
      <c r="A233" s="20" t="str">
        <f>'All Players'!A21</f>
        <v>TENGIL</v>
      </c>
      <c r="B233" s="20">
        <f>COUNTIFS(GameStats!C:C,A233,GameStats!D:D,"1",GameStats!B:B,"&gt;="&amp;$Q$1)</f>
        <v>0</v>
      </c>
      <c r="C233" s="20">
        <f>COUNTIFS(GameStats!C:C,A233,GameStats!B:B,"&gt;="&amp;$Q$1)</f>
        <v>1</v>
      </c>
      <c r="D233" s="22">
        <f t="shared" si="18"/>
        <v>0</v>
      </c>
      <c r="E233" s="31">
        <f>SUMIFS(GameStats!D:D,GameStats!C:C,A233,GameStats!B:B,"&gt;="&amp;$Q$1)/C233</f>
        <v>20</v>
      </c>
      <c r="F233" s="32">
        <f t="shared" si="19"/>
        <v>0.48936170212765956</v>
      </c>
      <c r="G233" s="20">
        <f>COUNTIFS(GameStats!I:I,A233,GameStats!B:B,"&gt;="&amp;$Q$1)</f>
        <v>0</v>
      </c>
      <c r="H233" s="33">
        <f>SUMIFS(GameStats!F:F,GameStats!C:C,A233,GameStats!B:B,"&gt;="&amp;$Q$1)</f>
        <v>23</v>
      </c>
      <c r="I233" s="33">
        <f>SUMIFS(GameStats!G:G,GameStats!C:C,A233,GameStats!B:B,"&gt;="&amp;$Q$1)</f>
        <v>47</v>
      </c>
      <c r="J233" s="33">
        <f t="shared" si="20"/>
        <v>23</v>
      </c>
      <c r="K233" s="33">
        <f t="shared" si="21"/>
        <v>47</v>
      </c>
      <c r="L233" s="32">
        <f t="shared" si="22"/>
        <v>0</v>
      </c>
      <c r="M233" s="29">
        <f>('Elo model'!$E$14*PlayerStats!D21) + ('Elo model'!$F$14*(1/PlayerStats!E21)) + ('Elo model'!$G$14*PlayerStats!F21) + ('Elo model'!$H$14*(PlayerStats!L21/4))</f>
        <v>0.15504640638579037</v>
      </c>
      <c r="N233" s="21">
        <f>_xlfn.MINIFS(GameStats!B:B,GameStats!C:C,A233)</f>
        <v>44967</v>
      </c>
      <c r="O233" s="21">
        <f>_xlfn.MAXIFS(GameStats!B:B,GameStats!C:C,A233)</f>
        <v>44967</v>
      </c>
      <c r="P233" t="b">
        <f t="shared" si="23"/>
        <v>1</v>
      </c>
    </row>
    <row r="234" spans="1:17" customFormat="1" ht="14.4" x14ac:dyDescent="0.3">
      <c r="A234" s="20" t="str">
        <f>'All Players'!A85</f>
        <v>sordak</v>
      </c>
      <c r="B234" s="20">
        <f>COUNTIFS(GameStats!C:C,A234,GameStats!D:D,"1",GameStats!B:B,"&gt;="&amp;$Q$1)</f>
        <v>0</v>
      </c>
      <c r="C234" s="20">
        <f>COUNTIFS(GameStats!C:C,A234,GameStats!B:B,"&gt;="&amp;$Q$1)</f>
        <v>1</v>
      </c>
      <c r="D234" s="22">
        <f t="shared" si="18"/>
        <v>0</v>
      </c>
      <c r="E234" s="31">
        <f>SUMIFS(GameStats!D:D,GameStats!C:C,A234,GameStats!B:B,"&gt;="&amp;$Q$1)/C234</f>
        <v>20</v>
      </c>
      <c r="F234" s="32">
        <f t="shared" si="19"/>
        <v>0.78378378378378377</v>
      </c>
      <c r="G234" s="20">
        <f>COUNTIFS(GameStats!I:I,A234,GameStats!B:B,"&gt;="&amp;$Q$1)</f>
        <v>0</v>
      </c>
      <c r="H234" s="33">
        <f>SUMIFS(GameStats!F:F,GameStats!C:C,A234,GameStats!B:B,"&gt;="&amp;$Q$1)</f>
        <v>29</v>
      </c>
      <c r="I234" s="33">
        <f>SUMIFS(GameStats!G:G,GameStats!C:C,A234,GameStats!B:B,"&gt;="&amp;$Q$1)</f>
        <v>37</v>
      </c>
      <c r="J234" s="33">
        <f t="shared" si="20"/>
        <v>29</v>
      </c>
      <c r="K234" s="33">
        <f t="shared" si="21"/>
        <v>37</v>
      </c>
      <c r="L234" s="32">
        <f t="shared" si="22"/>
        <v>0</v>
      </c>
      <c r="M234" s="29">
        <f>('Elo model'!$E$14*PlayerStats!D85) + ('Elo model'!$F$14*(1/PlayerStats!E85)) + ('Elo model'!$G$14*(PlayerStats!F85/1.75)) + ('Elo model'!$H$14*(PlayerStats!L85/4))</f>
        <v>7.5242463890013794E-2</v>
      </c>
      <c r="N234" s="21">
        <f>_xlfn.MINIFS(GameStats!B:B,GameStats!C:C,A234)</f>
        <v>45016</v>
      </c>
      <c r="O234" s="21">
        <f>_xlfn.MAXIFS(GameStats!B:B,GameStats!C:C,A234)</f>
        <v>45016</v>
      </c>
      <c r="P234" t="b">
        <f t="shared" si="23"/>
        <v>1</v>
      </c>
      <c r="Q234" s="20"/>
    </row>
    <row r="235" spans="1:17" customFormat="1" ht="14.4" x14ac:dyDescent="0.3">
      <c r="A235" s="20" t="str">
        <f>'All Players'!A118</f>
        <v>AwesomeGuy</v>
      </c>
      <c r="B235" s="20">
        <f>COUNTIFS(GameStats!C:C,A235,GameStats!D:D,"1",GameStats!B:B,"&gt;="&amp;$Q$1)</f>
        <v>0</v>
      </c>
      <c r="C235" s="20">
        <f>COUNTIFS(GameStats!C:C,A235,GameStats!B:B,"&gt;="&amp;$Q$1)</f>
        <v>1</v>
      </c>
      <c r="D235" s="22">
        <f t="shared" si="18"/>
        <v>0</v>
      </c>
      <c r="E235" s="31">
        <f>SUMIFS(GameStats!D:D,GameStats!C:C,A235,GameStats!B:B,"&gt;="&amp;$Q$1)/C235</f>
        <v>20</v>
      </c>
      <c r="F235" s="32">
        <f t="shared" si="19"/>
        <v>0.41860465116279072</v>
      </c>
      <c r="G235" s="20">
        <f>COUNTIFS(GameStats!I:I,A235,GameStats!B:B,"&gt;="&amp;$Q$1)</f>
        <v>0</v>
      </c>
      <c r="H235" s="33">
        <f>SUMIFS(GameStats!F:F,GameStats!C:C,A235,GameStats!B:B,"&gt;="&amp;$Q$1)</f>
        <v>18</v>
      </c>
      <c r="I235" s="33">
        <f>SUMIFS(GameStats!G:G,GameStats!C:C,A235,GameStats!B:B,"&gt;="&amp;$Q$1)</f>
        <v>43</v>
      </c>
      <c r="J235" s="33">
        <f t="shared" si="20"/>
        <v>18</v>
      </c>
      <c r="K235" s="33">
        <f t="shared" si="21"/>
        <v>43</v>
      </c>
      <c r="L235" s="32">
        <f t="shared" si="22"/>
        <v>0</v>
      </c>
      <c r="M235" s="29">
        <f>('Elo model'!$E$14*PlayerStats!D118) + ('Elo model'!$F$14*(1/PlayerStats!E118)) + ('Elo model'!$G$14*(PlayerStats!F118/1.75)) + ('Elo model'!$H$14*(PlayerStats!L118/4))</f>
        <v>0.90661146811665849</v>
      </c>
      <c r="N235" s="21">
        <f>_xlfn.MINIFS(GameStats!B:B,GameStats!C:C,A235)</f>
        <v>45044</v>
      </c>
      <c r="O235" s="21">
        <f>_xlfn.MAXIFS(GameStats!B:B,GameStats!C:C,A235)</f>
        <v>45044</v>
      </c>
      <c r="P235" t="b">
        <f t="shared" si="23"/>
        <v>1</v>
      </c>
    </row>
    <row r="236" spans="1:17" customFormat="1" ht="14.4" x14ac:dyDescent="0.3">
      <c r="A236" s="20" t="str">
        <f>'All Players'!A93</f>
        <v>Krogiloid</v>
      </c>
      <c r="B236" s="20">
        <f>COUNTIFS(GameStats!C:C,A236,GameStats!D:D,"1",GameStats!B:B,"&gt;="&amp;$Q$1)</f>
        <v>0</v>
      </c>
      <c r="C236" s="20">
        <f>COUNTIFS(GameStats!C:C,A236,GameStats!B:B,"&gt;="&amp;$Q$1)</f>
        <v>1</v>
      </c>
      <c r="D236" s="22">
        <f t="shared" si="18"/>
        <v>0</v>
      </c>
      <c r="E236" s="31">
        <f>SUMIFS(GameStats!D:D,GameStats!C:C,A236,GameStats!B:B,"&gt;="&amp;$Q$1)/C236</f>
        <v>20</v>
      </c>
      <c r="F236" s="32">
        <f t="shared" si="19"/>
        <v>0.45614035087719296</v>
      </c>
      <c r="G236" s="20">
        <f>COUNTIFS(GameStats!I:I,A236,GameStats!B:B,"&gt;="&amp;$Q$1)</f>
        <v>0</v>
      </c>
      <c r="H236" s="33">
        <f>SUMIFS(GameStats!F:F,GameStats!C:C,A236,GameStats!B:B,"&gt;="&amp;$Q$1)</f>
        <v>26</v>
      </c>
      <c r="I236" s="33">
        <f>SUMIFS(GameStats!G:G,GameStats!C:C,A236,GameStats!B:B,"&gt;="&amp;$Q$1)</f>
        <v>57</v>
      </c>
      <c r="J236" s="33">
        <f t="shared" si="20"/>
        <v>26</v>
      </c>
      <c r="K236" s="33">
        <f t="shared" si="21"/>
        <v>57</v>
      </c>
      <c r="L236" s="32">
        <f t="shared" si="22"/>
        <v>0</v>
      </c>
      <c r="M236" s="29">
        <f>('Elo model'!$E$14*PlayerStats!D93) + ('Elo model'!$F$14*(1/PlayerStats!E93)) + ('Elo model'!$G$14*(PlayerStats!F93/1.75)) + ('Elo model'!$H$14*(PlayerStats!L93/4))</f>
        <v>0.22040300132043822</v>
      </c>
      <c r="N236" s="21">
        <f>_xlfn.MINIFS(GameStats!B:B,GameStats!C:C,A236)</f>
        <v>45023</v>
      </c>
      <c r="O236" s="21">
        <f>_xlfn.MAXIFS(GameStats!B:B,GameStats!C:C,A236)</f>
        <v>45023</v>
      </c>
      <c r="P236" t="b">
        <f t="shared" si="23"/>
        <v>1</v>
      </c>
      <c r="Q236" s="20"/>
    </row>
    <row r="237" spans="1:17" customFormat="1" ht="14.4" x14ac:dyDescent="0.3">
      <c r="A237" s="20" t="str">
        <f>'All Players'!A46</f>
        <v>PhantomLIG8</v>
      </c>
      <c r="B237" s="20">
        <f>COUNTIFS(GameStats!C:C,A237,GameStats!D:D,"1",GameStats!B:B,"&gt;="&amp;$Q$1)</f>
        <v>0</v>
      </c>
      <c r="C237" s="20">
        <f>COUNTIFS(GameStats!C:C,A237,GameStats!B:B,"&gt;="&amp;$Q$1)</f>
        <v>1</v>
      </c>
      <c r="D237" s="22">
        <f t="shared" si="18"/>
        <v>0</v>
      </c>
      <c r="E237" s="31">
        <f>SUMIFS(GameStats!D:D,GameStats!C:C,A237,GameStats!B:B,"&gt;="&amp;$Q$1)/C237</f>
        <v>20</v>
      </c>
      <c r="F237" s="32">
        <f t="shared" si="19"/>
        <v>0.55844155844155841</v>
      </c>
      <c r="G237" s="20">
        <f>COUNTIFS(GameStats!I:I,A237,GameStats!B:B,"&gt;="&amp;$Q$1)</f>
        <v>0</v>
      </c>
      <c r="H237" s="33">
        <f>SUMIFS(GameStats!F:F,GameStats!C:C,A237,GameStats!B:B,"&gt;="&amp;$Q$1)</f>
        <v>43</v>
      </c>
      <c r="I237" s="33">
        <f>SUMIFS(GameStats!G:G,GameStats!C:C,A237,GameStats!B:B,"&gt;="&amp;$Q$1)</f>
        <v>77</v>
      </c>
      <c r="J237" s="33">
        <f t="shared" si="20"/>
        <v>43</v>
      </c>
      <c r="K237" s="33">
        <f t="shared" si="21"/>
        <v>77</v>
      </c>
      <c r="L237" s="32">
        <f t="shared" si="22"/>
        <v>0</v>
      </c>
      <c r="M237" s="29">
        <f>('Elo model'!$E$14*PlayerStats!D46) + ('Elo model'!$F$14*(1/PlayerStats!E46)) + ('Elo model'!$G$14*(PlayerStats!F46/1.75)) + ('Elo model'!$H$14*(PlayerStats!L46/4))</f>
        <v>0.17788887434194206</v>
      </c>
      <c r="N237" s="21">
        <f>_xlfn.MINIFS(GameStats!B:B,GameStats!C:C,A237)</f>
        <v>44988</v>
      </c>
      <c r="O237" s="21">
        <f>_xlfn.MAXIFS(GameStats!B:B,GameStats!C:C,A237)</f>
        <v>44988</v>
      </c>
      <c r="P237" t="b">
        <f t="shared" si="23"/>
        <v>1</v>
      </c>
      <c r="Q237" s="20"/>
    </row>
    <row r="238" spans="1:17" customFormat="1" ht="14.4" x14ac:dyDescent="0.3">
      <c r="A238" s="20" t="str">
        <f>'All Players'!A181</f>
        <v>aureus</v>
      </c>
      <c r="B238" s="20">
        <f>COUNTIFS(GameStats!C:C,A238,GameStats!D:D,"1",GameStats!B:B,"&gt;="&amp;$Q$1)</f>
        <v>0</v>
      </c>
      <c r="C238" s="20">
        <f>COUNTIFS(GameStats!C:C,A238,GameStats!B:B,"&gt;="&amp;$Q$1)</f>
        <v>1</v>
      </c>
      <c r="D238" s="22">
        <f t="shared" si="18"/>
        <v>0</v>
      </c>
      <c r="E238" s="31">
        <f>SUMIFS(GameStats!D:D,GameStats!C:C,A238,GameStats!B:B,"&gt;="&amp;$Q$1)/C238</f>
        <v>20</v>
      </c>
      <c r="F238" s="32">
        <f t="shared" si="19"/>
        <v>0.32835820895522388</v>
      </c>
      <c r="G238" s="20">
        <f>COUNTIFS(GameStats!I:I,A238,GameStats!B:B,"&gt;="&amp;$Q$1)</f>
        <v>0</v>
      </c>
      <c r="H238" s="33">
        <f>SUMIFS(GameStats!F:F,GameStats!C:C,A238,GameStats!B:B,"&gt;="&amp;$Q$1)</f>
        <v>22</v>
      </c>
      <c r="I238" s="33">
        <f>SUMIFS(GameStats!G:G,GameStats!C:C,A238,GameStats!B:B,"&gt;="&amp;$Q$1)</f>
        <v>67</v>
      </c>
      <c r="J238" s="33">
        <f t="shared" si="20"/>
        <v>22</v>
      </c>
      <c r="K238" s="33">
        <f t="shared" si="21"/>
        <v>67</v>
      </c>
      <c r="L238" s="32">
        <f t="shared" si="22"/>
        <v>0</v>
      </c>
      <c r="M238" s="29">
        <f>('Elo model'!$E$14*PlayerStats!D181) + ('Elo model'!$F$14*(1/PlayerStats!E181)) + ('Elo model'!$G$14*(PlayerStats!F181/1.75)) + ('Elo model'!$H$14*(PlayerStats!L181/4))</f>
        <v>7.3238095238095241E-2</v>
      </c>
      <c r="N238" s="21">
        <f>_xlfn.MINIFS(GameStats!B:B,GameStats!C:C,A238)</f>
        <v>45415</v>
      </c>
      <c r="O238" s="21">
        <f>_xlfn.MAXIFS(GameStats!B:B,GameStats!C:C,A238)</f>
        <v>45415</v>
      </c>
      <c r="P238" t="b">
        <f t="shared" si="23"/>
        <v>1</v>
      </c>
    </row>
    <row r="239" spans="1:17" customFormat="1" ht="14.4" x14ac:dyDescent="0.3">
      <c r="A239" s="20" t="str">
        <f>'All Players'!A160</f>
        <v>jimpansos</v>
      </c>
      <c r="B239" s="20">
        <f>COUNTIFS(GameStats!C:C,A239,GameStats!D:D,"1",GameStats!B:B,"&gt;="&amp;$Q$1)</f>
        <v>0</v>
      </c>
      <c r="C239" s="20">
        <f>COUNTIFS(GameStats!C:C,A239,GameStats!B:B,"&gt;="&amp;$Q$1)</f>
        <v>1</v>
      </c>
      <c r="D239" s="22">
        <f t="shared" si="18"/>
        <v>0</v>
      </c>
      <c r="E239" s="31">
        <f>SUMIFS(GameStats!D:D,GameStats!C:C,A239,GameStats!B:B,"&gt;="&amp;$Q$1)/C239</f>
        <v>20</v>
      </c>
      <c r="F239" s="32">
        <f t="shared" si="19"/>
        <v>0.51351351351351349</v>
      </c>
      <c r="G239" s="20">
        <f>COUNTIFS(GameStats!I:I,A239,GameStats!B:B,"&gt;="&amp;$Q$1)</f>
        <v>0</v>
      </c>
      <c r="H239" s="33">
        <f>SUMIFS(GameStats!F:F,GameStats!C:C,A239,GameStats!B:B,"&gt;="&amp;$Q$1)</f>
        <v>19</v>
      </c>
      <c r="I239" s="33">
        <f>SUMIFS(GameStats!G:G,GameStats!C:C,A239,GameStats!B:B,"&gt;="&amp;$Q$1)</f>
        <v>37</v>
      </c>
      <c r="J239" s="33">
        <f t="shared" si="20"/>
        <v>19</v>
      </c>
      <c r="K239" s="33">
        <f t="shared" si="21"/>
        <v>37</v>
      </c>
      <c r="L239" s="32">
        <f t="shared" si="22"/>
        <v>0</v>
      </c>
      <c r="M239" s="29">
        <f>('Elo model'!$E$14*PlayerStats!D160) + ('Elo model'!$F$14*(1/PlayerStats!E160)) + ('Elo model'!$G$14*(PlayerStats!F160/1.75)) + ('Elo model'!$H$14*(PlayerStats!L160/4))</f>
        <v>8.3018144646051617E-2</v>
      </c>
      <c r="N239" s="21">
        <f>_xlfn.MINIFS(GameStats!B:B,GameStats!C:C,A239)</f>
        <v>45394</v>
      </c>
      <c r="O239" s="21">
        <f>_xlfn.MAXIFS(GameStats!B:B,GameStats!C:C,A239)</f>
        <v>45394</v>
      </c>
      <c r="P239" t="b">
        <f t="shared" si="23"/>
        <v>1</v>
      </c>
      <c r="Q239" s="20"/>
    </row>
    <row r="240" spans="1:17" customFormat="1" ht="14.4" x14ac:dyDescent="0.3">
      <c r="A240" s="20" t="str">
        <f>'All Players'!A112</f>
        <v>Riskstoner</v>
      </c>
      <c r="B240" s="20">
        <f>COUNTIFS(GameStats!C:C,A240,GameStats!D:D,"1",GameStats!B:B,"&gt;="&amp;$Q$1)</f>
        <v>0</v>
      </c>
      <c r="C240" s="20">
        <f>COUNTIFS(GameStats!C:C,A240,GameStats!B:B,"&gt;="&amp;$Q$1)</f>
        <v>1</v>
      </c>
      <c r="D240" s="22">
        <f t="shared" si="18"/>
        <v>0</v>
      </c>
      <c r="E240" s="31">
        <f>SUMIFS(GameStats!D:D,GameStats!C:C,A240,GameStats!B:B,"&gt;="&amp;$Q$1)/C240</f>
        <v>20</v>
      </c>
      <c r="F240" s="32">
        <f t="shared" si="19"/>
        <v>0.6404494382022472</v>
      </c>
      <c r="G240" s="20">
        <f>COUNTIFS(GameStats!I:I,A240,GameStats!B:B,"&gt;="&amp;$Q$1)</f>
        <v>0</v>
      </c>
      <c r="H240" s="33">
        <f>SUMIFS(GameStats!F:F,GameStats!C:C,A240,GameStats!B:B,"&gt;="&amp;$Q$1)</f>
        <v>57</v>
      </c>
      <c r="I240" s="33">
        <f>SUMIFS(GameStats!G:G,GameStats!C:C,A240,GameStats!B:B,"&gt;="&amp;$Q$1)</f>
        <v>89</v>
      </c>
      <c r="J240" s="33">
        <f t="shared" si="20"/>
        <v>57</v>
      </c>
      <c r="K240" s="33">
        <f t="shared" si="21"/>
        <v>89</v>
      </c>
      <c r="L240" s="32">
        <f t="shared" si="22"/>
        <v>0</v>
      </c>
      <c r="M240" s="29">
        <f>('Elo model'!$E$14*PlayerStats!D112) + ('Elo model'!$F$14*(1/PlayerStats!E112)) + ('Elo model'!$G$14*(PlayerStats!F112/1.75)) + ('Elo model'!$H$14*(PlayerStats!L112/4))</f>
        <v>6.6590176740552676E-2</v>
      </c>
      <c r="N240" s="21">
        <f>_xlfn.MINIFS(GameStats!B:B,GameStats!C:C,A240)</f>
        <v>45037</v>
      </c>
      <c r="O240" s="21">
        <f>_xlfn.MAXIFS(GameStats!B:B,GameStats!C:C,A240)</f>
        <v>45037</v>
      </c>
      <c r="P240" t="b">
        <f t="shared" si="23"/>
        <v>1</v>
      </c>
      <c r="Q240" s="20"/>
    </row>
    <row r="241" spans="1:17" customFormat="1" ht="14.4" x14ac:dyDescent="0.3">
      <c r="A241" s="20" t="str">
        <f>'All Players'!A60</f>
        <v>kremon</v>
      </c>
      <c r="B241" s="20">
        <f>COUNTIFS(GameStats!C:C,A241,GameStats!D:D,"1",GameStats!B:B,"&gt;="&amp;$Q$1)</f>
        <v>0</v>
      </c>
      <c r="C241" s="20">
        <f>COUNTIFS(GameStats!C:C,A241,GameStats!B:B,"&gt;="&amp;$Q$1)</f>
        <v>1</v>
      </c>
      <c r="D241" s="22">
        <f t="shared" si="18"/>
        <v>0</v>
      </c>
      <c r="E241" s="31">
        <f>SUMIFS(GameStats!D:D,GameStats!C:C,A241,GameStats!B:B,"&gt;="&amp;$Q$1)/C241</f>
        <v>20</v>
      </c>
      <c r="F241" s="32">
        <f t="shared" si="19"/>
        <v>0.66666666666666663</v>
      </c>
      <c r="G241" s="20">
        <f>COUNTIFS(GameStats!I:I,A241,GameStats!B:B,"&gt;="&amp;$Q$1)</f>
        <v>0</v>
      </c>
      <c r="H241" s="33">
        <f>SUMIFS(GameStats!F:F,GameStats!C:C,A241,GameStats!B:B,"&gt;="&amp;$Q$1)</f>
        <v>44</v>
      </c>
      <c r="I241" s="33">
        <f>SUMIFS(GameStats!G:G,GameStats!C:C,A241,GameStats!B:B,"&gt;="&amp;$Q$1)</f>
        <v>66</v>
      </c>
      <c r="J241" s="33">
        <f t="shared" si="20"/>
        <v>44</v>
      </c>
      <c r="K241" s="33">
        <f t="shared" si="21"/>
        <v>66</v>
      </c>
      <c r="L241" s="32">
        <f t="shared" si="22"/>
        <v>0</v>
      </c>
      <c r="M241" s="29">
        <f>('Elo model'!$E$14*PlayerStats!D60) + ('Elo model'!$F$14*(1/PlayerStats!E60)) + ('Elo model'!$G$14*(PlayerStats!F60/1.75)) + ('Elo model'!$H$14*(PlayerStats!L60/4))</f>
        <v>0.10813349151100393</v>
      </c>
      <c r="N241" s="21">
        <f>_xlfn.MINIFS(GameStats!B:B,GameStats!C:C,A241)</f>
        <v>45002</v>
      </c>
      <c r="O241" s="21">
        <f>_xlfn.MAXIFS(GameStats!B:B,GameStats!C:C,A241)</f>
        <v>45002</v>
      </c>
      <c r="P241" t="b">
        <f t="shared" si="23"/>
        <v>1</v>
      </c>
    </row>
    <row r="242" spans="1:17" customFormat="1" ht="14.4" x14ac:dyDescent="0.3">
      <c r="A242" s="20" t="str">
        <f>'All Players'!A173</f>
        <v>ssonney</v>
      </c>
      <c r="B242" s="20">
        <f>COUNTIFS(GameStats!C:C,A242,GameStats!D:D,"1",GameStats!B:B,"&gt;="&amp;$Q$1)</f>
        <v>0</v>
      </c>
      <c r="C242" s="20">
        <f>COUNTIFS(GameStats!C:C,A242,GameStats!B:B,"&gt;="&amp;$Q$1)</f>
        <v>1</v>
      </c>
      <c r="D242" s="22">
        <f t="shared" si="18"/>
        <v>0</v>
      </c>
      <c r="E242" s="31">
        <f>SUMIFS(GameStats!D:D,GameStats!C:C,A242,GameStats!B:B,"&gt;="&amp;$Q$1)/C242</f>
        <v>20</v>
      </c>
      <c r="F242" s="32">
        <f t="shared" si="19"/>
        <v>0.5</v>
      </c>
      <c r="G242" s="20">
        <f>COUNTIFS(GameStats!I:I,A242,GameStats!B:B,"&gt;="&amp;$Q$1)</f>
        <v>0</v>
      </c>
      <c r="H242" s="33">
        <f>SUMIFS(GameStats!F:F,GameStats!C:C,A242,GameStats!B:B,"&gt;="&amp;$Q$1)</f>
        <v>21</v>
      </c>
      <c r="I242" s="33">
        <f>SUMIFS(GameStats!G:G,GameStats!C:C,A242,GameStats!B:B,"&gt;="&amp;$Q$1)</f>
        <v>42</v>
      </c>
      <c r="J242" s="33">
        <f t="shared" si="20"/>
        <v>21</v>
      </c>
      <c r="K242" s="33">
        <f t="shared" si="21"/>
        <v>42</v>
      </c>
      <c r="L242" s="32">
        <f t="shared" si="22"/>
        <v>0</v>
      </c>
      <c r="M242" s="29">
        <f>('Elo model'!$E$14*PlayerStats!D173) + ('Elo model'!$F$14*(1/PlayerStats!E173)) + ('Elo model'!$G$14*(PlayerStats!F173/1.75)) + ('Elo model'!$H$14*(PlayerStats!L173/4))</f>
        <v>6.7914285714285705E-2</v>
      </c>
      <c r="N242" s="21">
        <f>_xlfn.MINIFS(GameStats!B:B,GameStats!C:C,A242)</f>
        <v>45408</v>
      </c>
      <c r="O242" s="21">
        <f>_xlfn.MAXIFS(GameStats!B:B,GameStats!C:C,A242)</f>
        <v>45408</v>
      </c>
      <c r="P242" t="b">
        <f t="shared" si="23"/>
        <v>1</v>
      </c>
      <c r="Q242" s="20"/>
    </row>
    <row r="243" spans="1:17" customFormat="1" ht="14.4" x14ac:dyDescent="0.3">
      <c r="A243" s="20" t="str">
        <f>'All Players'!A70</f>
        <v>Firdo</v>
      </c>
      <c r="B243" s="20">
        <f>COUNTIFS(GameStats!C:C,A243,GameStats!D:D,"1",GameStats!B:B,"&gt;="&amp;$Q$1)</f>
        <v>0</v>
      </c>
      <c r="C243" s="20">
        <f>COUNTIFS(GameStats!C:C,A243,GameStats!B:B,"&gt;="&amp;$Q$1)</f>
        <v>1</v>
      </c>
      <c r="D243" s="22">
        <f t="shared" si="18"/>
        <v>0</v>
      </c>
      <c r="E243" s="31">
        <f>SUMIFS(GameStats!D:D,GameStats!C:C,A243,GameStats!B:B,"&gt;="&amp;$Q$1)/C243</f>
        <v>20</v>
      </c>
      <c r="F243" s="32">
        <f t="shared" si="19"/>
        <v>0.5</v>
      </c>
      <c r="G243" s="20">
        <f>COUNTIFS(GameStats!I:I,A243,GameStats!B:B,"&gt;="&amp;$Q$1)</f>
        <v>0</v>
      </c>
      <c r="H243" s="33">
        <f>SUMIFS(GameStats!F:F,GameStats!C:C,A243,GameStats!B:B,"&gt;="&amp;$Q$1)</f>
        <v>25</v>
      </c>
      <c r="I243" s="33">
        <f>SUMIFS(GameStats!G:G,GameStats!C:C,A243,GameStats!B:B,"&gt;="&amp;$Q$1)</f>
        <v>50</v>
      </c>
      <c r="J243" s="33">
        <f t="shared" si="20"/>
        <v>25</v>
      </c>
      <c r="K243" s="33">
        <f t="shared" si="21"/>
        <v>50</v>
      </c>
      <c r="L243" s="32">
        <f t="shared" si="22"/>
        <v>0</v>
      </c>
      <c r="M243" s="29">
        <f>('Elo model'!$E$14*PlayerStats!D70) + ('Elo model'!$F$14*(1/PlayerStats!E70)) + ('Elo model'!$G$14*(PlayerStats!F70/1.75)) + ('Elo model'!$H$14*(PlayerStats!L70/4))</f>
        <v>0.33857680925477535</v>
      </c>
      <c r="N243" s="21">
        <f>_xlfn.MINIFS(GameStats!B:B,GameStats!C:C,A243)</f>
        <v>45009</v>
      </c>
      <c r="O243" s="21">
        <f>_xlfn.MAXIFS(GameStats!B:B,GameStats!C:C,A243)</f>
        <v>45009</v>
      </c>
      <c r="P243" t="b">
        <f t="shared" si="23"/>
        <v>1</v>
      </c>
    </row>
    <row r="244" spans="1:17" customFormat="1" ht="14.4" x14ac:dyDescent="0.3">
      <c r="A244" s="20" t="str">
        <f>'All Players'!A145</f>
        <v>fipsinger</v>
      </c>
      <c r="B244" s="20">
        <f>COUNTIFS(GameStats!C:C,A244,GameStats!D:D,"1",GameStats!B:B,"&gt;="&amp;$Q$1)</f>
        <v>0</v>
      </c>
      <c r="C244" s="20">
        <f>COUNTIFS(GameStats!C:C,A244,GameStats!B:B,"&gt;="&amp;$Q$1)</f>
        <v>1</v>
      </c>
      <c r="D244" s="22">
        <f t="shared" si="18"/>
        <v>0</v>
      </c>
      <c r="E244" s="31">
        <f>SUMIFS(GameStats!D:D,GameStats!C:C,A244,GameStats!B:B,"&gt;="&amp;$Q$1)/C244</f>
        <v>20</v>
      </c>
      <c r="F244" s="32">
        <f t="shared" si="19"/>
        <v>4.0920716112531973E-2</v>
      </c>
      <c r="G244" s="20">
        <f>COUNTIFS(GameStats!I:I,A244,GameStats!B:B,"&gt;="&amp;$Q$1)</f>
        <v>0</v>
      </c>
      <c r="H244" s="33">
        <f>SUMIFS(GameStats!F:F,GameStats!C:C,A244,GameStats!B:B,"&gt;="&amp;$Q$1)</f>
        <v>16</v>
      </c>
      <c r="I244" s="33">
        <f>SUMIFS(GameStats!G:G,GameStats!C:C,A244,GameStats!B:B,"&gt;="&amp;$Q$1)</f>
        <v>391</v>
      </c>
      <c r="J244" s="33">
        <f t="shared" si="20"/>
        <v>16</v>
      </c>
      <c r="K244" s="33">
        <f t="shared" si="21"/>
        <v>391</v>
      </c>
      <c r="L244" s="32">
        <f t="shared" si="22"/>
        <v>0</v>
      </c>
      <c r="M244" s="29">
        <f>('Elo model'!$E$14*PlayerStats!D145) + ('Elo model'!$F$14*(1/PlayerStats!E145)) + ('Elo model'!$G$14*(PlayerStats!F145/1.75)) + ('Elo model'!$H$14*(PlayerStats!L145/4))</f>
        <v>6.6922077922077924E-2</v>
      </c>
      <c r="N244" s="21">
        <f>_xlfn.MINIFS(GameStats!B:B,GameStats!C:C,A244)</f>
        <v>45380</v>
      </c>
      <c r="O244" s="21">
        <f>_xlfn.MAXIFS(GameStats!B:B,GameStats!C:C,A244)</f>
        <v>45380</v>
      </c>
      <c r="P244" t="b">
        <f t="shared" si="23"/>
        <v>1</v>
      </c>
    </row>
    <row r="245" spans="1:17" customFormat="1" ht="14.4" x14ac:dyDescent="0.3">
      <c r="A245" s="20" t="str">
        <f>'All Players'!A242</f>
        <v>LUCE</v>
      </c>
      <c r="B245" s="20">
        <f>COUNTIFS(GameStats!C:C,A245,GameStats!D:D,"1",GameStats!B:B,"&gt;="&amp;$Q$1)</f>
        <v>0</v>
      </c>
      <c r="C245" s="20">
        <f>COUNTIFS(GameStats!C:C,A245,GameStats!B:B,"&gt;="&amp;$Q$1)</f>
        <v>1</v>
      </c>
      <c r="D245" s="22">
        <f t="shared" si="18"/>
        <v>0</v>
      </c>
      <c r="E245" s="31">
        <f>SUMIFS(GameStats!D:D,GameStats!C:C,A245,GameStats!B:B,"&gt;="&amp;$Q$1)/C245</f>
        <v>20</v>
      </c>
      <c r="F245" s="32">
        <f t="shared" si="19"/>
        <v>0.81818181818181823</v>
      </c>
      <c r="G245" s="20">
        <f>COUNTIFS(GameStats!I:I,A245,GameStats!B:B,"&gt;="&amp;$Q$1)</f>
        <v>0</v>
      </c>
      <c r="H245" s="33">
        <f>SUMIFS(GameStats!F:F,GameStats!C:C,A245,GameStats!B:B,"&gt;="&amp;$Q$1)</f>
        <v>81</v>
      </c>
      <c r="I245" s="33">
        <f>SUMIFS(GameStats!G:G,GameStats!C:C,A245,GameStats!B:B,"&gt;="&amp;$Q$1)</f>
        <v>99</v>
      </c>
      <c r="J245" s="33">
        <f t="shared" si="20"/>
        <v>81</v>
      </c>
      <c r="K245" s="33">
        <f t="shared" si="21"/>
        <v>99</v>
      </c>
      <c r="L245" s="32">
        <f t="shared" si="22"/>
        <v>0</v>
      </c>
      <c r="M245" s="29">
        <f>('Elo model'!$E$14*PlayerStats!D242) + ('Elo model'!$F$14*(1/PlayerStats!E242)) + ('Elo model'!$G$14*(PlayerStats!F242/1.75)) + ('Elo model'!$H$14*(PlayerStats!L242/4))</f>
        <v>5.5357142857142855E-2</v>
      </c>
      <c r="N245" s="21">
        <f>_xlfn.MINIFS(GameStats!B:B,GameStats!C:C,A245)</f>
        <v>45492</v>
      </c>
      <c r="O245" s="21">
        <f>_xlfn.MAXIFS(GameStats!B:B,GameStats!C:C,A245)</f>
        <v>45492</v>
      </c>
      <c r="P245" t="b">
        <f t="shared" si="23"/>
        <v>1</v>
      </c>
    </row>
    <row r="246" spans="1:17" customFormat="1" ht="14.4" x14ac:dyDescent="0.3">
      <c r="A246" s="20" t="str">
        <f>'All Players'!A267</f>
        <v>Voljin</v>
      </c>
      <c r="B246" s="20">
        <f>COUNTIFS(GameStats!C:C,A246,GameStats!D:D,"1",GameStats!B:B,"&gt;="&amp;$Q$1)</f>
        <v>0</v>
      </c>
      <c r="C246" s="20">
        <f>COUNTIFS(GameStats!C:C,A246,GameStats!B:B,"&gt;="&amp;$Q$1)</f>
        <v>1</v>
      </c>
      <c r="D246" s="22">
        <f t="shared" si="18"/>
        <v>0</v>
      </c>
      <c r="E246" s="31">
        <f>SUMIFS(GameStats!D:D,GameStats!C:C,A246,GameStats!B:B,"&gt;="&amp;$Q$1)/C246</f>
        <v>20</v>
      </c>
      <c r="F246" s="32">
        <f t="shared" si="19"/>
        <v>0.59302325581395354</v>
      </c>
      <c r="G246" s="20">
        <f>COUNTIFS(GameStats!I:I,A246,GameStats!B:B,"&gt;="&amp;$Q$1)</f>
        <v>1</v>
      </c>
      <c r="H246" s="33">
        <f>SUMIFS(GameStats!F:F,GameStats!C:C,A246,GameStats!B:B,"&gt;="&amp;$Q$1)</f>
        <v>51</v>
      </c>
      <c r="I246" s="33">
        <f>SUMIFS(GameStats!G:G,GameStats!C:C,A246,GameStats!B:B,"&gt;="&amp;$Q$1)</f>
        <v>86</v>
      </c>
      <c r="J246" s="33">
        <f t="shared" si="20"/>
        <v>51</v>
      </c>
      <c r="K246" s="33">
        <f t="shared" si="21"/>
        <v>86</v>
      </c>
      <c r="L246" s="32">
        <f t="shared" si="22"/>
        <v>1</v>
      </c>
      <c r="M246" s="29">
        <f>('Elo model'!$E$14*PlayerStats!D267) + ('Elo model'!$F$14*(1/PlayerStats!E267)) + ('Elo model'!$G$14*(PlayerStats!F267/1.75)) + ('Elo model'!$H$14*(PlayerStats!L267/4))</f>
        <v>8.1006493506493513E-2</v>
      </c>
      <c r="N246" s="21">
        <f>_xlfn.MINIFS(GameStats!B:B,GameStats!C:C,A246)</f>
        <v>45527</v>
      </c>
      <c r="O246" s="21">
        <f>_xlfn.MAXIFS(GameStats!B:B,GameStats!C:C,A246)</f>
        <v>45527</v>
      </c>
      <c r="P246" t="b">
        <f t="shared" si="23"/>
        <v>1</v>
      </c>
    </row>
    <row r="247" spans="1:17" customFormat="1" ht="14.4" x14ac:dyDescent="0.3">
      <c r="A247" s="20" t="str">
        <f>'All Players'!A275</f>
        <v>Ando</v>
      </c>
      <c r="B247" s="20">
        <f>COUNTIFS(GameStats!C:C,A247,GameStats!D:D,"1",GameStats!B:B,"&gt;="&amp;$Q$1)</f>
        <v>0</v>
      </c>
      <c r="C247" s="20">
        <f>COUNTIFS(GameStats!C:C,A247,GameStats!B:B,"&gt;="&amp;$Q$1)</f>
        <v>1</v>
      </c>
      <c r="D247" s="22">
        <f t="shared" si="18"/>
        <v>0</v>
      </c>
      <c r="E247" s="31">
        <f>SUMIFS(GameStats!D:D,GameStats!C:C,A247,GameStats!B:B,"&gt;="&amp;$Q$1)/C247</f>
        <v>20</v>
      </c>
      <c r="F247" s="32">
        <f t="shared" si="19"/>
        <v>0.65</v>
      </c>
      <c r="G247" s="20">
        <f>COUNTIFS(GameStats!I:I,A247,GameStats!B:B,"&gt;="&amp;$Q$1)</f>
        <v>0</v>
      </c>
      <c r="H247" s="33">
        <f>SUMIFS(GameStats!F:F,GameStats!C:C,A247,GameStats!B:B,"&gt;="&amp;$Q$1)</f>
        <v>26</v>
      </c>
      <c r="I247" s="33">
        <f>SUMIFS(GameStats!G:G,GameStats!C:C,A247,GameStats!B:B,"&gt;="&amp;$Q$1)</f>
        <v>40</v>
      </c>
      <c r="J247" s="33">
        <f t="shared" si="20"/>
        <v>26</v>
      </c>
      <c r="K247" s="33">
        <f t="shared" si="21"/>
        <v>40</v>
      </c>
      <c r="L247" s="32">
        <f t="shared" si="22"/>
        <v>0</v>
      </c>
      <c r="M247" s="29">
        <f>('Elo model'!$E$14*PlayerStats!D275) + ('Elo model'!$F$14*(1/PlayerStats!E275)) + ('Elo model'!$G$14*(PlayerStats!F275/1.75)) + ('Elo model'!$H$14*(PlayerStats!L275/4))</f>
        <v>0.10911873840445269</v>
      </c>
      <c r="N247" s="21">
        <f>_xlfn.MINIFS(GameStats!B:B,GameStats!C:C,A247)</f>
        <v>45541</v>
      </c>
      <c r="O247" s="21">
        <f>_xlfn.MAXIFS(GameStats!B:B,GameStats!C:C,A247)</f>
        <v>45541</v>
      </c>
      <c r="P247" t="b">
        <f t="shared" si="23"/>
        <v>1</v>
      </c>
    </row>
    <row r="248" spans="1:17" customFormat="1" ht="14.4" x14ac:dyDescent="0.3">
      <c r="A248" s="20" t="str">
        <f>'All Players'!A281</f>
        <v>Schatzgoblin</v>
      </c>
      <c r="B248" s="20">
        <f>COUNTIFS(GameStats!C:C,A248,GameStats!D:D,"1",GameStats!B:B,"&gt;="&amp;$Q$1)</f>
        <v>0</v>
      </c>
      <c r="C248" s="20">
        <f>COUNTIFS(GameStats!C:C,A248,GameStats!B:B,"&gt;="&amp;$Q$1)</f>
        <v>1</v>
      </c>
      <c r="D248" s="22">
        <f t="shared" si="18"/>
        <v>0</v>
      </c>
      <c r="E248" s="31">
        <f>SUMIFS(GameStats!D:D,GameStats!C:C,A248,GameStats!B:B,"&gt;="&amp;$Q$1)/C248</f>
        <v>20</v>
      </c>
      <c r="F248" s="32">
        <f t="shared" si="19"/>
        <v>0.38356164383561642</v>
      </c>
      <c r="G248" s="20">
        <f>COUNTIFS(GameStats!I:I,A248,GameStats!B:B,"&gt;="&amp;$Q$1)</f>
        <v>0</v>
      </c>
      <c r="H248" s="33">
        <f>SUMIFS(GameStats!F:F,GameStats!C:C,A248,GameStats!B:B,"&gt;="&amp;$Q$1)</f>
        <v>28</v>
      </c>
      <c r="I248" s="33">
        <f>SUMIFS(GameStats!G:G,GameStats!C:C,A248,GameStats!B:B,"&gt;="&amp;$Q$1)</f>
        <v>73</v>
      </c>
      <c r="J248" s="33">
        <f t="shared" si="20"/>
        <v>28</v>
      </c>
      <c r="K248" s="33">
        <f t="shared" si="21"/>
        <v>73</v>
      </c>
      <c r="L248" s="32">
        <f t="shared" si="22"/>
        <v>0</v>
      </c>
      <c r="M248" s="29">
        <f>('Elo model'!$E$14*PlayerStats!D281) + ('Elo model'!$F$14*(1/PlayerStats!E281)) + ('Elo model'!$G$14*(PlayerStats!F281/1.75)) + ('Elo model'!$H$14*(PlayerStats!L281/4))</f>
        <v>5.769568269568269E-2</v>
      </c>
      <c r="N248" s="21">
        <f>_xlfn.MINIFS(GameStats!B:B,GameStats!C:C,A248)</f>
        <v>45548</v>
      </c>
      <c r="O248" s="21">
        <f>_xlfn.MAXIFS(GameStats!B:B,GameStats!C:C,A248)</f>
        <v>45548</v>
      </c>
      <c r="P248" t="b">
        <f t="shared" si="23"/>
        <v>1</v>
      </c>
    </row>
    <row r="249" spans="1:17" customFormat="1" ht="14.4" x14ac:dyDescent="0.3">
      <c r="A249" s="20" t="str">
        <f>'All Players'!A289</f>
        <v>sdasdas</v>
      </c>
      <c r="B249" s="20">
        <f>COUNTIFS(GameStats!C:C,A249,GameStats!D:D,"1",GameStats!B:B,"&gt;="&amp;$Q$1)</f>
        <v>0</v>
      </c>
      <c r="C249" s="20">
        <f>COUNTIFS(GameStats!C:C,A249,GameStats!B:B,"&gt;="&amp;$Q$1)</f>
        <v>1</v>
      </c>
      <c r="D249" s="22">
        <f t="shared" si="18"/>
        <v>0</v>
      </c>
      <c r="E249" s="31">
        <f>SUMIFS(GameStats!D:D,GameStats!C:C,A249,GameStats!B:B,"&gt;="&amp;$Q$1)/C249</f>
        <v>20</v>
      </c>
      <c r="F249" s="32">
        <f t="shared" si="19"/>
        <v>0.85333333333333339</v>
      </c>
      <c r="G249" s="20">
        <f>COUNTIFS(GameStats!I:I,A249,GameStats!B:B,"&gt;="&amp;$Q$1)</f>
        <v>0</v>
      </c>
      <c r="H249" s="33">
        <f>SUMIFS(GameStats!F:F,GameStats!C:C,A249,GameStats!B:B,"&gt;="&amp;$Q$1)</f>
        <v>64</v>
      </c>
      <c r="I249" s="33">
        <f>SUMIFS(GameStats!G:G,GameStats!C:C,A249,GameStats!B:B,"&gt;="&amp;$Q$1)</f>
        <v>75</v>
      </c>
      <c r="J249" s="33">
        <f t="shared" si="20"/>
        <v>64</v>
      </c>
      <c r="K249" s="33">
        <f t="shared" si="21"/>
        <v>75</v>
      </c>
      <c r="L249" s="32">
        <f t="shared" si="22"/>
        <v>0</v>
      </c>
      <c r="M249" s="29">
        <f>('Elo model'!$E$14*PlayerStats!D289) + ('Elo model'!$F$14*(1/PlayerStats!E289)) + ('Elo model'!$G$14*(PlayerStats!F289/1.75)) + ('Elo model'!$H$14*(PlayerStats!L289/4))</f>
        <v>3.2298136645962733E-2</v>
      </c>
      <c r="N249" s="21">
        <f>_xlfn.MINIFS(GameStats!B:B,GameStats!C:C,A249)</f>
        <v>45562</v>
      </c>
      <c r="O249" s="21">
        <f>_xlfn.MAXIFS(GameStats!B:B,GameStats!C:C,A249)</f>
        <v>45562</v>
      </c>
      <c r="P249" t="b">
        <f t="shared" si="23"/>
        <v>1</v>
      </c>
    </row>
    <row r="250" spans="1:17" customFormat="1" ht="14.4" x14ac:dyDescent="0.3">
      <c r="A250" s="20" t="str">
        <f>'All Players'!A47</f>
        <v>Tbone</v>
      </c>
      <c r="B250" s="20">
        <f>COUNTIFS(GameStats!C:C,A250,GameStats!D:D,"1",GameStats!B:B,"&gt;="&amp;$Q$1)</f>
        <v>0</v>
      </c>
      <c r="C250" s="20">
        <f>COUNTIFS(GameStats!C:C,A250,GameStats!B:B,"&gt;="&amp;$Q$1)</f>
        <v>1</v>
      </c>
      <c r="D250" s="22">
        <f t="shared" si="18"/>
        <v>0</v>
      </c>
      <c r="E250" s="31">
        <f>SUMIFS(GameStats!D:D,GameStats!C:C,A250,GameStats!B:B,"&gt;="&amp;$Q$1)/C250</f>
        <v>21</v>
      </c>
      <c r="F250" s="32">
        <f t="shared" si="19"/>
        <v>0.44827586206896552</v>
      </c>
      <c r="G250" s="20">
        <f>COUNTIFS(GameStats!I:I,A250,GameStats!B:B,"&gt;="&amp;$Q$1)</f>
        <v>0</v>
      </c>
      <c r="H250" s="33">
        <f>SUMIFS(GameStats!F:F,GameStats!C:C,A250,GameStats!B:B,"&gt;="&amp;$Q$1)</f>
        <v>13</v>
      </c>
      <c r="I250" s="33">
        <f>SUMIFS(GameStats!G:G,GameStats!C:C,A250,GameStats!B:B,"&gt;="&amp;$Q$1)</f>
        <v>29</v>
      </c>
      <c r="J250" s="33">
        <f t="shared" si="20"/>
        <v>13</v>
      </c>
      <c r="K250" s="33">
        <f t="shared" si="21"/>
        <v>29</v>
      </c>
      <c r="L250" s="32">
        <f t="shared" si="22"/>
        <v>0</v>
      </c>
      <c r="M250" s="29">
        <f>('Elo model'!$E$14*PlayerStats!D47) + ('Elo model'!$F$14*(1/PlayerStats!E47)) + ('Elo model'!$G$14*(PlayerStats!F47/1.75)) + ('Elo model'!$H$14*(PlayerStats!L47/4))</f>
        <v>0.10726984126984127</v>
      </c>
      <c r="N250" s="21">
        <f>_xlfn.MINIFS(GameStats!B:B,GameStats!C:C,A250)</f>
        <v>44988</v>
      </c>
      <c r="O250" s="21">
        <f>_xlfn.MAXIFS(GameStats!B:B,GameStats!C:C,A250)</f>
        <v>44988</v>
      </c>
      <c r="P250" t="b">
        <f t="shared" si="23"/>
        <v>1</v>
      </c>
      <c r="Q250" s="20"/>
    </row>
    <row r="251" spans="1:17" customFormat="1" ht="14.4" x14ac:dyDescent="0.3">
      <c r="A251" s="20" t="str">
        <f>'All Players'!A119</f>
        <v>egernpaetben</v>
      </c>
      <c r="B251" s="20">
        <f>COUNTIFS(GameStats!C:C,A251,GameStats!D:D,"1",GameStats!B:B,"&gt;="&amp;$Q$1)</f>
        <v>0</v>
      </c>
      <c r="C251" s="20">
        <f>COUNTIFS(GameStats!C:C,A251,GameStats!B:B,"&gt;="&amp;$Q$1)</f>
        <v>1</v>
      </c>
      <c r="D251" s="22">
        <f t="shared" si="18"/>
        <v>0</v>
      </c>
      <c r="E251" s="31">
        <f>SUMIFS(GameStats!D:D,GameStats!C:C,A251,GameStats!B:B,"&gt;="&amp;$Q$1)/C251</f>
        <v>21</v>
      </c>
      <c r="F251" s="32">
        <f t="shared" si="19"/>
        <v>0.46666666666666667</v>
      </c>
      <c r="G251" s="20">
        <f>COUNTIFS(GameStats!I:I,A251,GameStats!B:B,"&gt;="&amp;$Q$1)</f>
        <v>0</v>
      </c>
      <c r="H251" s="33">
        <f>SUMIFS(GameStats!F:F,GameStats!C:C,A251,GameStats!B:B,"&gt;="&amp;$Q$1)</f>
        <v>14</v>
      </c>
      <c r="I251" s="33">
        <f>SUMIFS(GameStats!G:G,GameStats!C:C,A251,GameStats!B:B,"&gt;="&amp;$Q$1)</f>
        <v>30</v>
      </c>
      <c r="J251" s="33">
        <f t="shared" si="20"/>
        <v>14</v>
      </c>
      <c r="K251" s="33">
        <f t="shared" si="21"/>
        <v>30</v>
      </c>
      <c r="L251" s="32">
        <f t="shared" si="22"/>
        <v>0</v>
      </c>
      <c r="M251" s="29">
        <f>('Elo model'!$E$14*PlayerStats!D119) + ('Elo model'!$F$14*(1/PlayerStats!E119)) + ('Elo model'!$G$14*(PlayerStats!F119/1.75)) + ('Elo model'!$H$14*(PlayerStats!L119/4))</f>
        <v>0.22356439704675965</v>
      </c>
      <c r="N251" s="21">
        <f>_xlfn.MINIFS(GameStats!B:B,GameStats!C:C,A251)</f>
        <v>45044</v>
      </c>
      <c r="O251" s="21">
        <f>_xlfn.MAXIFS(GameStats!B:B,GameStats!C:C,A251)</f>
        <v>45044</v>
      </c>
      <c r="P251" t="b">
        <f t="shared" si="23"/>
        <v>1</v>
      </c>
      <c r="Q251" s="20"/>
    </row>
    <row r="252" spans="1:17" customFormat="1" ht="14.4" x14ac:dyDescent="0.3">
      <c r="A252" s="20" t="str">
        <f>'All Players'!A94</f>
        <v>Fredrik</v>
      </c>
      <c r="B252" s="20">
        <f>COUNTIFS(GameStats!C:C,A252,GameStats!D:D,"1",GameStats!B:B,"&gt;="&amp;$Q$1)</f>
        <v>0</v>
      </c>
      <c r="C252" s="20">
        <f>COUNTIFS(GameStats!C:C,A252,GameStats!B:B,"&gt;="&amp;$Q$1)</f>
        <v>1</v>
      </c>
      <c r="D252" s="22">
        <f t="shared" si="18"/>
        <v>0</v>
      </c>
      <c r="E252" s="31">
        <f>SUMIFS(GameStats!D:D,GameStats!C:C,A252,GameStats!B:B,"&gt;="&amp;$Q$1)/C252</f>
        <v>21</v>
      </c>
      <c r="F252" s="32">
        <f t="shared" si="19"/>
        <v>0.61111111111111116</v>
      </c>
      <c r="G252" s="20">
        <f>COUNTIFS(GameStats!I:I,A252,GameStats!B:B,"&gt;="&amp;$Q$1)</f>
        <v>0</v>
      </c>
      <c r="H252" s="33">
        <f>SUMIFS(GameStats!F:F,GameStats!C:C,A252,GameStats!B:B,"&gt;="&amp;$Q$1)</f>
        <v>33</v>
      </c>
      <c r="I252" s="33">
        <f>SUMIFS(GameStats!G:G,GameStats!C:C,A252,GameStats!B:B,"&gt;="&amp;$Q$1)</f>
        <v>54</v>
      </c>
      <c r="J252" s="33">
        <f t="shared" si="20"/>
        <v>33</v>
      </c>
      <c r="K252" s="33">
        <f t="shared" si="21"/>
        <v>54</v>
      </c>
      <c r="L252" s="32">
        <f t="shared" si="22"/>
        <v>0</v>
      </c>
      <c r="M252" s="29">
        <f>('Elo model'!$E$14*PlayerStats!D94) + ('Elo model'!$F$14*(1/PlayerStats!E94)) + ('Elo model'!$G$14*(PlayerStats!F94/1.75)) + ('Elo model'!$H$14*(PlayerStats!L94/4))</f>
        <v>0.14605220883534137</v>
      </c>
      <c r="N252" s="21">
        <f>_xlfn.MINIFS(GameStats!B:B,GameStats!C:C,A252)</f>
        <v>45023</v>
      </c>
      <c r="O252" s="21">
        <f>_xlfn.MAXIFS(GameStats!B:B,GameStats!C:C,A252)</f>
        <v>45023</v>
      </c>
      <c r="P252" t="b">
        <f t="shared" si="23"/>
        <v>1</v>
      </c>
      <c r="Q252" s="20"/>
    </row>
    <row r="253" spans="1:17" customFormat="1" ht="14.4" x14ac:dyDescent="0.3">
      <c r="A253" s="20" t="str">
        <f>'All Players'!A113</f>
        <v>Benjamin</v>
      </c>
      <c r="B253" s="20">
        <f>COUNTIFS(GameStats!C:C,A253,GameStats!D:D,"1",GameStats!B:B,"&gt;="&amp;$Q$1)</f>
        <v>0</v>
      </c>
      <c r="C253" s="20">
        <f>COUNTIFS(GameStats!C:C,A253,GameStats!B:B,"&gt;="&amp;$Q$1)</f>
        <v>1</v>
      </c>
      <c r="D253" s="22">
        <f t="shared" si="18"/>
        <v>0</v>
      </c>
      <c r="E253" s="31">
        <f>SUMIFS(GameStats!D:D,GameStats!C:C,A253,GameStats!B:B,"&gt;="&amp;$Q$1)/C253</f>
        <v>21</v>
      </c>
      <c r="F253" s="32">
        <f t="shared" si="19"/>
        <v>0.6</v>
      </c>
      <c r="G253" s="20">
        <f>COUNTIFS(GameStats!I:I,A253,GameStats!B:B,"&gt;="&amp;$Q$1)</f>
        <v>0</v>
      </c>
      <c r="H253" s="33">
        <f>SUMIFS(GameStats!F:F,GameStats!C:C,A253,GameStats!B:B,"&gt;="&amp;$Q$1)</f>
        <v>30</v>
      </c>
      <c r="I253" s="33">
        <f>SUMIFS(GameStats!G:G,GameStats!C:C,A253,GameStats!B:B,"&gt;="&amp;$Q$1)</f>
        <v>50</v>
      </c>
      <c r="J253" s="33">
        <f t="shared" si="20"/>
        <v>30</v>
      </c>
      <c r="K253" s="33">
        <f t="shared" si="21"/>
        <v>50</v>
      </c>
      <c r="L253" s="32">
        <f t="shared" si="22"/>
        <v>0</v>
      </c>
      <c r="M253" s="29">
        <f>('Elo model'!$E$14*PlayerStats!D113) + ('Elo model'!$F$14*(1/PlayerStats!E113)) + ('Elo model'!$G$14*(PlayerStats!F113/1.75)) + ('Elo model'!$H$14*(PlayerStats!L113/4))</f>
        <v>5.2264254919122177E-2</v>
      </c>
      <c r="N253" s="21">
        <f>_xlfn.MINIFS(GameStats!B:B,GameStats!C:C,A253)</f>
        <v>45037</v>
      </c>
      <c r="O253" s="21">
        <f>_xlfn.MAXIFS(GameStats!B:B,GameStats!C:C,A253)</f>
        <v>45037</v>
      </c>
      <c r="P253" t="b">
        <f t="shared" si="23"/>
        <v>1</v>
      </c>
    </row>
    <row r="254" spans="1:17" customFormat="1" ht="14.4" x14ac:dyDescent="0.3">
      <c r="A254" s="20" t="str">
        <f>'All Players'!A161</f>
        <v>lobban</v>
      </c>
      <c r="B254" s="20">
        <f>COUNTIFS(GameStats!C:C,A254,GameStats!D:D,"1",GameStats!B:B,"&gt;="&amp;$Q$1)</f>
        <v>0</v>
      </c>
      <c r="C254" s="20">
        <f>COUNTIFS(GameStats!C:C,A254,GameStats!B:B,"&gt;="&amp;$Q$1)</f>
        <v>1</v>
      </c>
      <c r="D254" s="22">
        <f t="shared" si="18"/>
        <v>0</v>
      </c>
      <c r="E254" s="31">
        <f>SUMIFS(GameStats!D:D,GameStats!C:C,A254,GameStats!B:B,"&gt;="&amp;$Q$1)/C254</f>
        <v>21</v>
      </c>
      <c r="F254" s="32">
        <f t="shared" si="19"/>
        <v>0.41666666666666669</v>
      </c>
      <c r="G254" s="20">
        <f>COUNTIFS(GameStats!I:I,A254,GameStats!B:B,"&gt;="&amp;$Q$1)</f>
        <v>0</v>
      </c>
      <c r="H254" s="33">
        <f>SUMIFS(GameStats!F:F,GameStats!C:C,A254,GameStats!B:B,"&gt;="&amp;$Q$1)</f>
        <v>10</v>
      </c>
      <c r="I254" s="33">
        <f>SUMIFS(GameStats!G:G,GameStats!C:C,A254,GameStats!B:B,"&gt;="&amp;$Q$1)</f>
        <v>24</v>
      </c>
      <c r="J254" s="33">
        <f t="shared" si="20"/>
        <v>10</v>
      </c>
      <c r="K254" s="33">
        <f t="shared" si="21"/>
        <v>24</v>
      </c>
      <c r="L254" s="32">
        <f t="shared" si="22"/>
        <v>0</v>
      </c>
      <c r="M254" s="29">
        <f>('Elo model'!$E$14*PlayerStats!D161) + ('Elo model'!$F$14*(1/PlayerStats!E161)) + ('Elo model'!$G$14*(PlayerStats!F161/1.75)) + ('Elo model'!$H$14*(PlayerStats!L161/4))</f>
        <v>8.0202786903817824E-2</v>
      </c>
      <c r="N254" s="21">
        <f>_xlfn.MINIFS(GameStats!B:B,GameStats!C:C,A254)</f>
        <v>45394</v>
      </c>
      <c r="O254" s="21">
        <f>_xlfn.MAXIFS(GameStats!B:B,GameStats!C:C,A254)</f>
        <v>45394</v>
      </c>
      <c r="P254" t="b">
        <f t="shared" si="23"/>
        <v>1</v>
      </c>
    </row>
    <row r="255" spans="1:17" customFormat="1" ht="14.4" x14ac:dyDescent="0.3">
      <c r="A255" s="20" t="str">
        <f>'All Players'!A174</f>
        <v>brotalisdk</v>
      </c>
      <c r="B255" s="20">
        <f>COUNTIFS(GameStats!C:C,A255,GameStats!D:D,"1",GameStats!B:B,"&gt;="&amp;$Q$1)</f>
        <v>0</v>
      </c>
      <c r="C255" s="20">
        <f>COUNTIFS(GameStats!C:C,A255,GameStats!B:B,"&gt;="&amp;$Q$1)</f>
        <v>1</v>
      </c>
      <c r="D255" s="22">
        <f t="shared" si="18"/>
        <v>0</v>
      </c>
      <c r="E255" s="31">
        <f>SUMIFS(GameStats!D:D,GameStats!C:C,A255,GameStats!B:B,"&gt;="&amp;$Q$1)/C255</f>
        <v>21</v>
      </c>
      <c r="F255" s="32">
        <f t="shared" si="19"/>
        <v>0.66666666666666663</v>
      </c>
      <c r="G255" s="20">
        <f>COUNTIFS(GameStats!I:I,A255,GameStats!B:B,"&gt;="&amp;$Q$1)</f>
        <v>0</v>
      </c>
      <c r="H255" s="33">
        <f>SUMIFS(GameStats!F:F,GameStats!C:C,A255,GameStats!B:B,"&gt;="&amp;$Q$1)</f>
        <v>14</v>
      </c>
      <c r="I255" s="33">
        <f>SUMIFS(GameStats!G:G,GameStats!C:C,A255,GameStats!B:B,"&gt;="&amp;$Q$1)</f>
        <v>21</v>
      </c>
      <c r="J255" s="33">
        <f t="shared" si="20"/>
        <v>14</v>
      </c>
      <c r="K255" s="33">
        <f t="shared" si="21"/>
        <v>21</v>
      </c>
      <c r="L255" s="32">
        <f t="shared" si="22"/>
        <v>0</v>
      </c>
      <c r="M255" s="29">
        <f>('Elo model'!$E$14*PlayerStats!D174) + ('Elo model'!$F$14*(1/PlayerStats!E174)) + ('Elo model'!$G$14*(PlayerStats!F174/1.75)) + ('Elo model'!$H$14*(PlayerStats!L174/4))</f>
        <v>7.8174603174603174E-2</v>
      </c>
      <c r="N255" s="21">
        <f>_xlfn.MINIFS(GameStats!B:B,GameStats!C:C,A255)</f>
        <v>45408</v>
      </c>
      <c r="O255" s="21">
        <f>_xlfn.MAXIFS(GameStats!B:B,GameStats!C:C,A255)</f>
        <v>45408</v>
      </c>
      <c r="P255" t="b">
        <f t="shared" si="23"/>
        <v>1</v>
      </c>
    </row>
    <row r="256" spans="1:17" customFormat="1" ht="14.4" x14ac:dyDescent="0.3">
      <c r="A256" s="20" t="str">
        <f>'All Players'!A221</f>
        <v>Wonderscore</v>
      </c>
      <c r="B256" s="20">
        <f>COUNTIFS(GameStats!C:C,A256,GameStats!D:D,"1",GameStats!B:B,"&gt;="&amp;$Q$1)</f>
        <v>0</v>
      </c>
      <c r="C256" s="20">
        <f>COUNTIFS(GameStats!C:C,A256,GameStats!B:B,"&gt;="&amp;$Q$1)</f>
        <v>1</v>
      </c>
      <c r="D256" s="22">
        <f t="shared" si="18"/>
        <v>0</v>
      </c>
      <c r="E256" s="31">
        <f>SUMIFS(GameStats!D:D,GameStats!C:C,A256,GameStats!B:B,"&gt;="&amp;$Q$1)/C256</f>
        <v>21</v>
      </c>
      <c r="F256" s="32">
        <f t="shared" si="19"/>
        <v>0.68292682926829273</v>
      </c>
      <c r="G256" s="20">
        <f>COUNTIFS(GameStats!I:I,A256,GameStats!B:B,"&gt;="&amp;$Q$1)</f>
        <v>0</v>
      </c>
      <c r="H256" s="33">
        <f>SUMIFS(GameStats!F:F,GameStats!C:C,A256,GameStats!B:B,"&gt;="&amp;$Q$1)</f>
        <v>28</v>
      </c>
      <c r="I256" s="33">
        <f>SUMIFS(GameStats!G:G,GameStats!C:C,A256,GameStats!B:B,"&gt;="&amp;$Q$1)</f>
        <v>41</v>
      </c>
      <c r="J256" s="33">
        <f t="shared" si="20"/>
        <v>28</v>
      </c>
      <c r="K256" s="33">
        <f t="shared" si="21"/>
        <v>41</v>
      </c>
      <c r="L256" s="32">
        <f t="shared" si="22"/>
        <v>0</v>
      </c>
      <c r="M256" s="29">
        <f>('Elo model'!$E$14*PlayerStats!D221) + ('Elo model'!$F$14*(1/PlayerStats!E221)) + ('Elo model'!$G$14*(PlayerStats!F221/1.75)) + ('Elo model'!$H$14*(PlayerStats!L221/4))</f>
        <v>8.6861861861861844E-2</v>
      </c>
      <c r="N256" s="21">
        <f>_xlfn.MINIFS(GameStats!B:B,GameStats!C:C,A256)</f>
        <v>45457</v>
      </c>
      <c r="O256" s="21">
        <f>_xlfn.MAXIFS(GameStats!B:B,GameStats!C:C,A256)</f>
        <v>45457</v>
      </c>
      <c r="P256" t="b">
        <f t="shared" si="23"/>
        <v>1</v>
      </c>
    </row>
    <row r="257" spans="1:17" customFormat="1" ht="14.4" x14ac:dyDescent="0.3">
      <c r="A257" s="20" t="str">
        <f>'All Players'!A228</f>
        <v>OnoMonte</v>
      </c>
      <c r="B257" s="20">
        <f>COUNTIFS(GameStats!C:C,A257,GameStats!D:D,"1",GameStats!B:B,"&gt;="&amp;$Q$1)</f>
        <v>0</v>
      </c>
      <c r="C257" s="20">
        <f>COUNTIFS(GameStats!C:C,A257,GameStats!B:B,"&gt;="&amp;$Q$1)</f>
        <v>1</v>
      </c>
      <c r="D257" s="22">
        <f t="shared" si="18"/>
        <v>0</v>
      </c>
      <c r="E257" s="31">
        <f>SUMIFS(GameStats!D:D,GameStats!C:C,A257,GameStats!B:B,"&gt;="&amp;$Q$1)/C257</f>
        <v>21</v>
      </c>
      <c r="F257" s="32">
        <f t="shared" si="19"/>
        <v>0.55952380952380953</v>
      </c>
      <c r="G257" s="20">
        <f>COUNTIFS(GameStats!I:I,A257,GameStats!B:B,"&gt;="&amp;$Q$1)</f>
        <v>0</v>
      </c>
      <c r="H257" s="33">
        <f>SUMIFS(GameStats!F:F,GameStats!C:C,A257,GameStats!B:B,"&gt;="&amp;$Q$1)</f>
        <v>47</v>
      </c>
      <c r="I257" s="33">
        <f>SUMIFS(GameStats!G:G,GameStats!C:C,A257,GameStats!B:B,"&gt;="&amp;$Q$1)</f>
        <v>84</v>
      </c>
      <c r="J257" s="33">
        <f t="shared" si="20"/>
        <v>47</v>
      </c>
      <c r="K257" s="33">
        <f t="shared" si="21"/>
        <v>84</v>
      </c>
      <c r="L257" s="32">
        <f t="shared" si="22"/>
        <v>0</v>
      </c>
      <c r="M257" s="29">
        <f>('Elo model'!$E$14*PlayerStats!D228) + ('Elo model'!$F$14*(1/PlayerStats!E228)) + ('Elo model'!$G$14*(PlayerStats!F228/1.75)) + ('Elo model'!$H$14*(PlayerStats!L228/4))</f>
        <v>6.4909916300184417E-2</v>
      </c>
      <c r="N257" s="21">
        <f>_xlfn.MINIFS(GameStats!B:B,GameStats!C:C,A257)</f>
        <v>45464</v>
      </c>
      <c r="O257" s="21">
        <f>_xlfn.MAXIFS(GameStats!B:B,GameStats!C:C,A257)</f>
        <v>45464</v>
      </c>
      <c r="P257" t="b">
        <f t="shared" si="23"/>
        <v>1</v>
      </c>
    </row>
    <row r="258" spans="1:17" customFormat="1" ht="14.4" x14ac:dyDescent="0.3">
      <c r="A258" s="20" t="str">
        <f>'All Players'!A237</f>
        <v>Khargoz</v>
      </c>
      <c r="B258" s="20">
        <f>COUNTIFS(GameStats!C:C,A258,GameStats!D:D,"1",GameStats!B:B,"&gt;="&amp;$Q$1)</f>
        <v>0</v>
      </c>
      <c r="C258" s="20">
        <f>COUNTIFS(GameStats!C:C,A258,GameStats!B:B,"&gt;="&amp;$Q$1)</f>
        <v>1</v>
      </c>
      <c r="D258" s="22">
        <f t="shared" ref="D258:D321" si="24">B258/C258</f>
        <v>0</v>
      </c>
      <c r="E258" s="31">
        <f>SUMIFS(GameStats!D:D,GameStats!C:C,A258,GameStats!B:B,"&gt;="&amp;$Q$1)/C258</f>
        <v>21</v>
      </c>
      <c r="F258" s="32">
        <f t="shared" ref="F258:F293" si="25">H258/I258</f>
        <v>0.4098360655737705</v>
      </c>
      <c r="G258" s="20">
        <f>COUNTIFS(GameStats!I:I,A258,GameStats!B:B,"&gt;="&amp;$Q$1)</f>
        <v>0</v>
      </c>
      <c r="H258" s="33">
        <f>SUMIFS(GameStats!F:F,GameStats!C:C,A258,GameStats!B:B,"&gt;="&amp;$Q$1)</f>
        <v>25</v>
      </c>
      <c r="I258" s="33">
        <f>SUMIFS(GameStats!G:G,GameStats!C:C,A258,GameStats!B:B,"&gt;="&amp;$Q$1)</f>
        <v>61</v>
      </c>
      <c r="J258" s="33">
        <f t="shared" ref="J258:J293" si="26">H258/C258</f>
        <v>25</v>
      </c>
      <c r="K258" s="33">
        <f t="shared" ref="K258:K293" si="27">I258/C258</f>
        <v>61</v>
      </c>
      <c r="L258" s="32">
        <f t="shared" ref="L258:L293" si="28">G258/C258</f>
        <v>0</v>
      </c>
      <c r="M258" s="29">
        <f>('Elo model'!$E$14*PlayerStats!D237) + ('Elo model'!$F$14*(1/PlayerStats!E237)) + ('Elo model'!$G$14*(PlayerStats!F237/1.75)) + ('Elo model'!$H$14*(PlayerStats!L237/4))</f>
        <v>6.0366419294990717E-2</v>
      </c>
      <c r="N258" s="21">
        <f>_xlfn.MINIFS(GameStats!B:B,GameStats!C:C,A258)</f>
        <v>45478</v>
      </c>
      <c r="O258" s="21">
        <f>_xlfn.MAXIFS(GameStats!B:B,GameStats!C:C,A258)</f>
        <v>45478</v>
      </c>
      <c r="P258" t="b">
        <f t="shared" ref="P258:P321" si="29">IF(O258&gt;$Q$1,TRUE)</f>
        <v>1</v>
      </c>
    </row>
    <row r="259" spans="1:17" customFormat="1" ht="14.4" x14ac:dyDescent="0.3">
      <c r="A259" s="20" t="str">
        <f>'All Players'!A243</f>
        <v>ErvwinRommel</v>
      </c>
      <c r="B259" s="20">
        <f>COUNTIFS(GameStats!C:C,A259,GameStats!D:D,"1",GameStats!B:B,"&gt;="&amp;$Q$1)</f>
        <v>0</v>
      </c>
      <c r="C259" s="20">
        <f>COUNTIFS(GameStats!C:C,A259,GameStats!B:B,"&gt;="&amp;$Q$1)</f>
        <v>1</v>
      </c>
      <c r="D259" s="22">
        <f t="shared" si="24"/>
        <v>0</v>
      </c>
      <c r="E259" s="31">
        <f>SUMIFS(GameStats!D:D,GameStats!C:C,A259,GameStats!B:B,"&gt;="&amp;$Q$1)/C259</f>
        <v>21</v>
      </c>
      <c r="F259" s="32">
        <f t="shared" si="25"/>
        <v>0.64912280701754388</v>
      </c>
      <c r="G259" s="20">
        <f>COUNTIFS(GameStats!I:I,A259,GameStats!B:B,"&gt;="&amp;$Q$1)</f>
        <v>0</v>
      </c>
      <c r="H259" s="33">
        <f>SUMIFS(GameStats!F:F,GameStats!C:C,A259,GameStats!B:B,"&gt;="&amp;$Q$1)</f>
        <v>37</v>
      </c>
      <c r="I259" s="33">
        <f>SUMIFS(GameStats!G:G,GameStats!C:C,A259,GameStats!B:B,"&gt;="&amp;$Q$1)</f>
        <v>57</v>
      </c>
      <c r="J259" s="33">
        <f t="shared" si="26"/>
        <v>37</v>
      </c>
      <c r="K259" s="33">
        <f t="shared" si="27"/>
        <v>57</v>
      </c>
      <c r="L259" s="32">
        <f t="shared" si="28"/>
        <v>0</v>
      </c>
      <c r="M259" s="29">
        <f>('Elo model'!$E$14*PlayerStats!D243) + ('Elo model'!$F$14*(1/PlayerStats!E243)) + ('Elo model'!$G$14*(PlayerStats!F243/1.75)) + ('Elo model'!$H$14*(PlayerStats!L243/4))</f>
        <v>5.5357142857142855E-2</v>
      </c>
      <c r="N259" s="21">
        <f>_xlfn.MINIFS(GameStats!B:B,GameStats!C:C,A259)</f>
        <v>45492</v>
      </c>
      <c r="O259" s="21">
        <f>_xlfn.MAXIFS(GameStats!B:B,GameStats!C:C,A259)</f>
        <v>45492</v>
      </c>
      <c r="P259" t="b">
        <f t="shared" si="29"/>
        <v>1</v>
      </c>
    </row>
    <row r="260" spans="1:17" customFormat="1" ht="14.4" x14ac:dyDescent="0.3">
      <c r="A260" s="20" t="str">
        <f>'All Players'!A268</f>
        <v>inwents</v>
      </c>
      <c r="B260" s="20">
        <f>COUNTIFS(GameStats!C:C,A260,GameStats!D:D,"1",GameStats!B:B,"&gt;="&amp;$Q$1)</f>
        <v>0</v>
      </c>
      <c r="C260" s="20">
        <f>COUNTIFS(GameStats!C:C,A260,GameStats!B:B,"&gt;="&amp;$Q$1)</f>
        <v>1</v>
      </c>
      <c r="D260" s="22">
        <f t="shared" si="24"/>
        <v>0</v>
      </c>
      <c r="E260" s="31">
        <f>SUMIFS(GameStats!D:D,GameStats!C:C,A260,GameStats!B:B,"&gt;="&amp;$Q$1)/C260</f>
        <v>21</v>
      </c>
      <c r="F260" s="32">
        <f t="shared" si="25"/>
        <v>0.53448275862068961</v>
      </c>
      <c r="G260" s="20">
        <f>COUNTIFS(GameStats!I:I,A260,GameStats!B:B,"&gt;="&amp;$Q$1)</f>
        <v>0</v>
      </c>
      <c r="H260" s="33">
        <f>SUMIFS(GameStats!F:F,GameStats!C:C,A260,GameStats!B:B,"&gt;="&amp;$Q$1)</f>
        <v>31</v>
      </c>
      <c r="I260" s="33">
        <f>SUMIFS(GameStats!G:G,GameStats!C:C,A260,GameStats!B:B,"&gt;="&amp;$Q$1)</f>
        <v>58</v>
      </c>
      <c r="J260" s="33">
        <f t="shared" si="26"/>
        <v>31</v>
      </c>
      <c r="K260" s="33">
        <f t="shared" si="27"/>
        <v>58</v>
      </c>
      <c r="L260" s="32">
        <f t="shared" si="28"/>
        <v>0</v>
      </c>
      <c r="M260" s="29">
        <f>('Elo model'!$E$14*PlayerStats!D268) + ('Elo model'!$F$14*(1/PlayerStats!E268)) + ('Elo model'!$G$14*(PlayerStats!F268/1.75)) + ('Elo model'!$H$14*(PlayerStats!L268/4))</f>
        <v>4.1363636363636359E-2</v>
      </c>
      <c r="N260" s="21">
        <f>_xlfn.MINIFS(GameStats!B:B,GameStats!C:C,A260)</f>
        <v>45527</v>
      </c>
      <c r="O260" s="21">
        <f>_xlfn.MAXIFS(GameStats!B:B,GameStats!C:C,A260)</f>
        <v>45527</v>
      </c>
      <c r="P260" t="b">
        <f t="shared" si="29"/>
        <v>1</v>
      </c>
    </row>
    <row r="261" spans="1:17" customFormat="1" ht="14.4" x14ac:dyDescent="0.3">
      <c r="A261" s="20" t="str">
        <f>'All Players'!A276</f>
        <v>Ogun</v>
      </c>
      <c r="B261" s="20">
        <f>COUNTIFS(GameStats!C:C,A261,GameStats!D:D,"1",GameStats!B:B,"&gt;="&amp;$Q$1)</f>
        <v>0</v>
      </c>
      <c r="C261" s="20">
        <f>COUNTIFS(GameStats!C:C,A261,GameStats!B:B,"&gt;="&amp;$Q$1)</f>
        <v>1</v>
      </c>
      <c r="D261" s="22">
        <f t="shared" si="24"/>
        <v>0</v>
      </c>
      <c r="E261" s="31">
        <f>SUMIFS(GameStats!D:D,GameStats!C:C,A261,GameStats!B:B,"&gt;="&amp;$Q$1)/C261</f>
        <v>21</v>
      </c>
      <c r="F261" s="32">
        <f t="shared" si="25"/>
        <v>1.1666666666666667</v>
      </c>
      <c r="G261" s="20">
        <f>COUNTIFS(GameStats!I:I,A261,GameStats!B:B,"&gt;="&amp;$Q$1)</f>
        <v>0</v>
      </c>
      <c r="H261" s="33">
        <f>SUMIFS(GameStats!F:F,GameStats!C:C,A261,GameStats!B:B,"&gt;="&amp;$Q$1)</f>
        <v>21</v>
      </c>
      <c r="I261" s="33">
        <f>SUMIFS(GameStats!G:G,GameStats!C:C,A261,GameStats!B:B,"&gt;="&amp;$Q$1)</f>
        <v>18</v>
      </c>
      <c r="J261" s="33">
        <f t="shared" si="26"/>
        <v>21</v>
      </c>
      <c r="K261" s="33">
        <f t="shared" si="27"/>
        <v>18</v>
      </c>
      <c r="L261" s="32">
        <f t="shared" si="28"/>
        <v>0</v>
      </c>
      <c r="M261" s="29">
        <f>('Elo model'!$E$14*PlayerStats!D276) + ('Elo model'!$F$14*(1/PlayerStats!E276)) + ('Elo model'!$G$14*(PlayerStats!F276/1.75)) + ('Elo model'!$H$14*(PlayerStats!L276/4))</f>
        <v>3.9935064935064934E-2</v>
      </c>
      <c r="N261" s="21">
        <f>_xlfn.MINIFS(GameStats!B:B,GameStats!C:C,A261)</f>
        <v>45541</v>
      </c>
      <c r="O261" s="21">
        <f>_xlfn.MAXIFS(GameStats!B:B,GameStats!C:C,A261)</f>
        <v>45541</v>
      </c>
      <c r="P261" t="b">
        <f t="shared" si="29"/>
        <v>1</v>
      </c>
    </row>
    <row r="262" spans="1:17" customFormat="1" ht="14.4" x14ac:dyDescent="0.3">
      <c r="A262" s="20" t="str">
        <f>'All Players'!A290</f>
        <v>ReinhartOnly</v>
      </c>
      <c r="B262" s="20">
        <f>COUNTIFS(GameStats!C:C,A262,GameStats!D:D,"1",GameStats!B:B,"&gt;="&amp;$Q$1)</f>
        <v>0</v>
      </c>
      <c r="C262" s="20">
        <f>COUNTIFS(GameStats!C:C,A262,GameStats!B:B,"&gt;="&amp;$Q$1)</f>
        <v>1</v>
      </c>
      <c r="D262" s="22">
        <f t="shared" si="24"/>
        <v>0</v>
      </c>
      <c r="E262" s="31">
        <f>SUMIFS(GameStats!D:D,GameStats!C:C,A262,GameStats!B:B,"&gt;="&amp;$Q$1)/C262</f>
        <v>21</v>
      </c>
      <c r="F262" s="32">
        <f t="shared" si="25"/>
        <v>0.41304347826086957</v>
      </c>
      <c r="G262" s="20">
        <f>COUNTIFS(GameStats!I:I,A262,GameStats!B:B,"&gt;="&amp;$Q$1)</f>
        <v>0</v>
      </c>
      <c r="H262" s="33">
        <f>SUMIFS(GameStats!F:F,GameStats!C:C,A262,GameStats!B:B,"&gt;="&amp;$Q$1)</f>
        <v>19</v>
      </c>
      <c r="I262" s="33">
        <f>SUMIFS(GameStats!G:G,GameStats!C:C,A262,GameStats!B:B,"&gt;="&amp;$Q$1)</f>
        <v>46</v>
      </c>
      <c r="J262" s="33">
        <f t="shared" si="26"/>
        <v>19</v>
      </c>
      <c r="K262" s="33">
        <f t="shared" si="27"/>
        <v>46</v>
      </c>
      <c r="L262" s="32">
        <f t="shared" si="28"/>
        <v>0</v>
      </c>
      <c r="M262" s="29">
        <f>('Elo model'!$E$14*PlayerStats!D290) + ('Elo model'!$F$14*(1/PlayerStats!E290)) + ('Elo model'!$G$14*(PlayerStats!F290/1.75)) + ('Elo model'!$H$14*(PlayerStats!L290/4))</f>
        <v>5.598234717227852E-2</v>
      </c>
      <c r="N262" s="21">
        <f>_xlfn.MINIFS(GameStats!B:B,GameStats!C:C,A262)</f>
        <v>45562</v>
      </c>
      <c r="O262" s="21">
        <f>_xlfn.MAXIFS(GameStats!B:B,GameStats!C:C,A262)</f>
        <v>45562</v>
      </c>
      <c r="P262" t="b">
        <f t="shared" si="29"/>
        <v>1</v>
      </c>
    </row>
    <row r="263" spans="1:17" customFormat="1" ht="14.4" x14ac:dyDescent="0.3">
      <c r="A263" s="20" t="str">
        <f>'All Players'!A292</f>
        <v>Samir</v>
      </c>
      <c r="B263" s="20">
        <f>COUNTIFS(GameStats!C:C,A263,GameStats!D:D,"1",GameStats!B:B,"&gt;="&amp;$Q$1)</f>
        <v>0</v>
      </c>
      <c r="C263" s="20">
        <f>COUNTIFS(GameStats!C:C,A263,GameStats!B:B,"&gt;="&amp;$Q$1)</f>
        <v>1</v>
      </c>
      <c r="D263" s="22">
        <f t="shared" si="24"/>
        <v>0</v>
      </c>
      <c r="E263" s="31">
        <f>SUMIFS(GameStats!D:D,GameStats!C:C,A263,GameStats!B:B,"&gt;="&amp;$Q$1)/C263</f>
        <v>21</v>
      </c>
      <c r="F263" s="32">
        <f t="shared" si="25"/>
        <v>0.2</v>
      </c>
      <c r="G263" s="20">
        <f>COUNTIFS(GameStats!I:I,A263,GameStats!B:B,"&gt;="&amp;$Q$1)</f>
        <v>0</v>
      </c>
      <c r="H263" s="33">
        <f>SUMIFS(GameStats!F:F,GameStats!C:C,A263,GameStats!B:B,"&gt;="&amp;$Q$1)</f>
        <v>2</v>
      </c>
      <c r="I263" s="33">
        <f>SUMIFS(GameStats!G:G,GameStats!C:C,A263,GameStats!B:B,"&gt;="&amp;$Q$1)</f>
        <v>10</v>
      </c>
      <c r="J263" s="33">
        <f t="shared" si="26"/>
        <v>2</v>
      </c>
      <c r="K263" s="33">
        <f t="shared" si="27"/>
        <v>10</v>
      </c>
      <c r="L263" s="32">
        <f t="shared" si="28"/>
        <v>0</v>
      </c>
      <c r="M263" s="29">
        <f>('Elo model'!$E$14*PlayerStats!D292) + ('Elo model'!$F$14*(1/PlayerStats!E292)) + ('Elo model'!$G$14*(PlayerStats!F292/1.75)) + ('Elo model'!$H$14*(PlayerStats!L292/4))</f>
        <v>4.2448512585812351E-2</v>
      </c>
      <c r="N263" s="21">
        <f>_xlfn.MINIFS(GameStats!B:B,GameStats!C:C,A263)</f>
        <v>45569</v>
      </c>
      <c r="O263" s="21">
        <f>_xlfn.MAXIFS(GameStats!B:B,GameStats!C:C,A263)</f>
        <v>45569</v>
      </c>
      <c r="P263" t="b">
        <f t="shared" si="29"/>
        <v>1</v>
      </c>
    </row>
    <row r="264" spans="1:17" customFormat="1" ht="14.4" x14ac:dyDescent="0.3">
      <c r="A264" s="20" t="str">
        <f>'All Players'!A23</f>
        <v>Ernest1s</v>
      </c>
      <c r="B264" s="20">
        <f>COUNTIFS(GameStats!C:C,A264,GameStats!D:D,"1",GameStats!B:B,"&gt;="&amp;$Q$1)</f>
        <v>0</v>
      </c>
      <c r="C264" s="20">
        <f>COUNTIFS(GameStats!C:C,A264,GameStats!B:B,"&gt;="&amp;$Q$1)</f>
        <v>1</v>
      </c>
      <c r="D264" s="22">
        <f t="shared" si="24"/>
        <v>0</v>
      </c>
      <c r="E264" s="31">
        <f>SUMIFS(GameStats!D:D,GameStats!C:C,A264,GameStats!B:B,"&gt;="&amp;$Q$1)/C264</f>
        <v>22</v>
      </c>
      <c r="F264" s="32">
        <f t="shared" si="25"/>
        <v>0.40740740740740738</v>
      </c>
      <c r="G264" s="20">
        <f>COUNTIFS(GameStats!I:I,A264,GameStats!B:B,"&gt;="&amp;$Q$1)</f>
        <v>0</v>
      </c>
      <c r="H264" s="33">
        <f>SUMIFS(GameStats!F:F,GameStats!C:C,A264,GameStats!B:B,"&gt;="&amp;$Q$1)</f>
        <v>11</v>
      </c>
      <c r="I264" s="33">
        <f>SUMIFS(GameStats!G:G,GameStats!C:C,A264,GameStats!B:B,"&gt;="&amp;$Q$1)</f>
        <v>27</v>
      </c>
      <c r="J264" s="33">
        <f t="shared" si="26"/>
        <v>11</v>
      </c>
      <c r="K264" s="33">
        <f t="shared" si="27"/>
        <v>27</v>
      </c>
      <c r="L264" s="32">
        <f t="shared" si="28"/>
        <v>0</v>
      </c>
      <c r="M264" s="29">
        <f>('Elo model'!$E$14*PlayerStats!D23) + ('Elo model'!$F$14*(1/PlayerStats!E23)) + ('Elo model'!$G$14*(PlayerStats!F23/1.75)) + ('Elo model'!$H$14*(PlayerStats!L23/4))</f>
        <v>0.2249061942128128</v>
      </c>
      <c r="N264" s="21">
        <f>_xlfn.MINIFS(GameStats!B:B,GameStats!C:C,A264)</f>
        <v>44967</v>
      </c>
      <c r="O264" s="21">
        <f>_xlfn.MAXIFS(GameStats!B:B,GameStats!C:C,A264)</f>
        <v>44967</v>
      </c>
      <c r="P264" t="b">
        <f t="shared" si="29"/>
        <v>1</v>
      </c>
      <c r="Q264" s="20"/>
    </row>
    <row r="265" spans="1:17" customFormat="1" ht="14.4" x14ac:dyDescent="0.3">
      <c r="A265" s="20" t="str">
        <f>'All Players'!A87</f>
        <v>Obli</v>
      </c>
      <c r="B265" s="20">
        <f>COUNTIFS(GameStats!C:C,A265,GameStats!D:D,"1",GameStats!B:B,"&gt;="&amp;$Q$1)</f>
        <v>0</v>
      </c>
      <c r="C265" s="20">
        <f>COUNTIFS(GameStats!C:C,A265,GameStats!B:B,"&gt;="&amp;$Q$1)</f>
        <v>1</v>
      </c>
      <c r="D265" s="22">
        <f t="shared" si="24"/>
        <v>0</v>
      </c>
      <c r="E265" s="31">
        <f>SUMIFS(GameStats!D:D,GameStats!C:C,A265,GameStats!B:B,"&gt;="&amp;$Q$1)/C265</f>
        <v>22</v>
      </c>
      <c r="F265" s="32">
        <f t="shared" si="25"/>
        <v>0.5</v>
      </c>
      <c r="G265" s="20">
        <f>COUNTIFS(GameStats!I:I,A265,GameStats!B:B,"&gt;="&amp;$Q$1)</f>
        <v>0</v>
      </c>
      <c r="H265" s="33">
        <f>SUMIFS(GameStats!F:F,GameStats!C:C,A265,GameStats!B:B,"&gt;="&amp;$Q$1)</f>
        <v>4</v>
      </c>
      <c r="I265" s="33">
        <f>SUMIFS(GameStats!G:G,GameStats!C:C,A265,GameStats!B:B,"&gt;="&amp;$Q$1)</f>
        <v>8</v>
      </c>
      <c r="J265" s="33">
        <f t="shared" si="26"/>
        <v>4</v>
      </c>
      <c r="K265" s="33">
        <f t="shared" si="27"/>
        <v>8</v>
      </c>
      <c r="L265" s="32">
        <f t="shared" si="28"/>
        <v>0</v>
      </c>
      <c r="M265" s="29">
        <f>('Elo model'!$E$14*PlayerStats!D87) + ('Elo model'!$F$14*(1/PlayerStats!E87)) + ('Elo model'!$G$14*(PlayerStats!F87/1.75)) + ('Elo model'!$H$14*(PlayerStats!L87/4))</f>
        <v>7.9419983642311884E-2</v>
      </c>
      <c r="N265" s="21">
        <f>_xlfn.MINIFS(GameStats!B:B,GameStats!C:C,A265)</f>
        <v>45016</v>
      </c>
      <c r="O265" s="21">
        <f>_xlfn.MAXIFS(GameStats!B:B,GameStats!C:C,A265)</f>
        <v>45016</v>
      </c>
      <c r="P265" t="b">
        <f t="shared" si="29"/>
        <v>1</v>
      </c>
    </row>
    <row r="266" spans="1:17" customFormat="1" ht="14.4" x14ac:dyDescent="0.3">
      <c r="A266" s="20" t="str">
        <f>'All Players'!A169</f>
        <v>checkmate</v>
      </c>
      <c r="B266" s="20">
        <f>COUNTIFS(GameStats!C:C,A266,GameStats!D:D,"1",GameStats!B:B,"&gt;="&amp;$Q$1)</f>
        <v>0</v>
      </c>
      <c r="C266" s="20">
        <f>COUNTIFS(GameStats!C:C,A266,GameStats!B:B,"&gt;="&amp;$Q$1)</f>
        <v>1</v>
      </c>
      <c r="D266" s="22">
        <f t="shared" si="24"/>
        <v>0</v>
      </c>
      <c r="E266" s="31">
        <f>SUMIFS(GameStats!D:D,GameStats!C:C,A266,GameStats!B:B,"&gt;="&amp;$Q$1)/C266</f>
        <v>22</v>
      </c>
      <c r="F266" s="32">
        <f t="shared" si="25"/>
        <v>0.44444444444444442</v>
      </c>
      <c r="G266" s="20">
        <f>COUNTIFS(GameStats!I:I,A266,GameStats!B:B,"&gt;="&amp;$Q$1)</f>
        <v>0</v>
      </c>
      <c r="H266" s="33">
        <f>SUMIFS(GameStats!F:F,GameStats!C:C,A266,GameStats!B:B,"&gt;="&amp;$Q$1)</f>
        <v>12</v>
      </c>
      <c r="I266" s="33">
        <f>SUMIFS(GameStats!G:G,GameStats!C:C,A266,GameStats!B:B,"&gt;="&amp;$Q$1)</f>
        <v>27</v>
      </c>
      <c r="J266" s="33">
        <f t="shared" si="26"/>
        <v>12</v>
      </c>
      <c r="K266" s="33">
        <f t="shared" si="27"/>
        <v>27</v>
      </c>
      <c r="L266" s="32">
        <f t="shared" si="28"/>
        <v>0</v>
      </c>
      <c r="M266" s="29">
        <f>('Elo model'!$E$14*PlayerStats!D169) + ('Elo model'!$F$14*(1/PlayerStats!E169)) + ('Elo model'!$G$14*(PlayerStats!F169/1.75)) + ('Elo model'!$H$14*(PlayerStats!L169/4))</f>
        <v>7.5863422291993721E-2</v>
      </c>
      <c r="N266" s="21">
        <f>_xlfn.MINIFS(GameStats!B:B,GameStats!C:C,A266)</f>
        <v>45401</v>
      </c>
      <c r="O266" s="21">
        <f>_xlfn.MAXIFS(GameStats!B:B,GameStats!C:C,A266)</f>
        <v>45401</v>
      </c>
      <c r="P266" t="b">
        <f t="shared" si="29"/>
        <v>1</v>
      </c>
      <c r="Q266" s="20"/>
    </row>
    <row r="267" spans="1:17" customFormat="1" ht="14.4" x14ac:dyDescent="0.3">
      <c r="A267" s="20" t="str">
        <f>'All Players'!A120</f>
        <v>Drayden517</v>
      </c>
      <c r="B267" s="20">
        <f>COUNTIFS(GameStats!C:C,A267,GameStats!D:D,"1",GameStats!B:B,"&gt;="&amp;$Q$1)</f>
        <v>0</v>
      </c>
      <c r="C267" s="20">
        <f>COUNTIFS(GameStats!C:C,A267,GameStats!B:B,"&gt;="&amp;$Q$1)</f>
        <v>1</v>
      </c>
      <c r="D267" s="22">
        <f t="shared" si="24"/>
        <v>0</v>
      </c>
      <c r="E267" s="31">
        <f>SUMIFS(GameStats!D:D,GameStats!C:C,A267,GameStats!B:B,"&gt;="&amp;$Q$1)/C267</f>
        <v>22</v>
      </c>
      <c r="F267" s="32">
        <f t="shared" si="25"/>
        <v>0.8125</v>
      </c>
      <c r="G267" s="20">
        <f>COUNTIFS(GameStats!I:I,A267,GameStats!B:B,"&gt;="&amp;$Q$1)</f>
        <v>0</v>
      </c>
      <c r="H267" s="33">
        <f>SUMIFS(GameStats!F:F,GameStats!C:C,A267,GameStats!B:B,"&gt;="&amp;$Q$1)</f>
        <v>13</v>
      </c>
      <c r="I267" s="33">
        <f>SUMIFS(GameStats!G:G,GameStats!C:C,A267,GameStats!B:B,"&gt;="&amp;$Q$1)</f>
        <v>16</v>
      </c>
      <c r="J267" s="33">
        <f t="shared" si="26"/>
        <v>13</v>
      </c>
      <c r="K267" s="33">
        <f t="shared" si="27"/>
        <v>16</v>
      </c>
      <c r="L267" s="32">
        <f t="shared" si="28"/>
        <v>0</v>
      </c>
      <c r="M267" s="29">
        <f>('Elo model'!$E$14*PlayerStats!D120) + ('Elo model'!$F$14*(1/PlayerStats!E120)) + ('Elo model'!$G$14*(PlayerStats!F120/1.75)) + ('Elo model'!$H$14*(PlayerStats!L120/4))</f>
        <v>0.32562413976369908</v>
      </c>
      <c r="N267" s="21">
        <f>_xlfn.MINIFS(GameStats!B:B,GameStats!C:C,A267)</f>
        <v>45044</v>
      </c>
      <c r="O267" s="21">
        <f>_xlfn.MAXIFS(GameStats!B:B,GameStats!C:C,A267)</f>
        <v>45044</v>
      </c>
      <c r="P267" t="b">
        <f t="shared" si="29"/>
        <v>1</v>
      </c>
      <c r="Q267" s="20"/>
    </row>
    <row r="268" spans="1:17" customFormat="1" ht="14.4" x14ac:dyDescent="0.3">
      <c r="A268" s="20" t="str">
        <f>'All Players'!A175</f>
        <v>karat88</v>
      </c>
      <c r="B268" s="20">
        <f>COUNTIFS(GameStats!C:C,A268,GameStats!D:D,"1",GameStats!B:B,"&gt;="&amp;$Q$1)</f>
        <v>0</v>
      </c>
      <c r="C268" s="20">
        <f>COUNTIFS(GameStats!C:C,A268,GameStats!B:B,"&gt;="&amp;$Q$1)</f>
        <v>1</v>
      </c>
      <c r="D268" s="22">
        <f t="shared" si="24"/>
        <v>0</v>
      </c>
      <c r="E268" s="31">
        <f>SUMIFS(GameStats!D:D,GameStats!C:C,A268,GameStats!B:B,"&gt;="&amp;$Q$1)/C268</f>
        <v>22</v>
      </c>
      <c r="F268" s="32">
        <f t="shared" si="25"/>
        <v>0.35</v>
      </c>
      <c r="G268" s="20">
        <f>COUNTIFS(GameStats!I:I,A268,GameStats!B:B,"&gt;="&amp;$Q$1)</f>
        <v>0</v>
      </c>
      <c r="H268" s="33">
        <f>SUMIFS(GameStats!F:F,GameStats!C:C,A268,GameStats!B:B,"&gt;="&amp;$Q$1)</f>
        <v>7</v>
      </c>
      <c r="I268" s="33">
        <f>SUMIFS(GameStats!G:G,GameStats!C:C,A268,GameStats!B:B,"&gt;="&amp;$Q$1)</f>
        <v>20</v>
      </c>
      <c r="J268" s="33">
        <f t="shared" si="26"/>
        <v>7</v>
      </c>
      <c r="K268" s="33">
        <f t="shared" si="27"/>
        <v>20</v>
      </c>
      <c r="L268" s="32">
        <f t="shared" si="28"/>
        <v>0</v>
      </c>
      <c r="M268" s="29">
        <f>('Elo model'!$E$14*PlayerStats!D175) + ('Elo model'!$F$14*(1/PlayerStats!E175)) + ('Elo model'!$G$14*(PlayerStats!F175/1.75)) + ('Elo model'!$H$14*(PlayerStats!L175/4))</f>
        <v>6.4750290360046467E-2</v>
      </c>
      <c r="N268" s="21">
        <f>_xlfn.MINIFS(GameStats!B:B,GameStats!C:C,A268)</f>
        <v>45408</v>
      </c>
      <c r="O268" s="21">
        <f>_xlfn.MAXIFS(GameStats!B:B,GameStats!C:C,A268)</f>
        <v>45408</v>
      </c>
      <c r="P268" t="b">
        <f t="shared" si="29"/>
        <v>1</v>
      </c>
    </row>
    <row r="269" spans="1:17" customFormat="1" ht="14.4" x14ac:dyDescent="0.3">
      <c r="A269" s="20" t="str">
        <f>'All Players'!A190</f>
        <v>Pilsner22</v>
      </c>
      <c r="B269" s="20">
        <f>COUNTIFS(GameStats!C:C,A269,GameStats!D:D,"1",GameStats!B:B,"&gt;="&amp;$Q$1)</f>
        <v>0</v>
      </c>
      <c r="C269" s="20">
        <f>COUNTIFS(GameStats!C:C,A269,GameStats!B:B,"&gt;="&amp;$Q$1)</f>
        <v>1</v>
      </c>
      <c r="D269" s="22">
        <f t="shared" si="24"/>
        <v>0</v>
      </c>
      <c r="E269" s="31">
        <f>SUMIFS(GameStats!D:D,GameStats!C:C,A269,GameStats!B:B,"&gt;="&amp;$Q$1)/C269</f>
        <v>22</v>
      </c>
      <c r="F269" s="32">
        <f t="shared" si="25"/>
        <v>0.52941176470588236</v>
      </c>
      <c r="G269" s="20">
        <f>COUNTIFS(GameStats!I:I,A269,GameStats!B:B,"&gt;="&amp;$Q$1)</f>
        <v>0</v>
      </c>
      <c r="H269" s="33">
        <f>SUMIFS(GameStats!F:F,GameStats!C:C,A269,GameStats!B:B,"&gt;="&amp;$Q$1)</f>
        <v>18</v>
      </c>
      <c r="I269" s="33">
        <f>SUMIFS(GameStats!G:G,GameStats!C:C,A269,GameStats!B:B,"&gt;="&amp;$Q$1)</f>
        <v>34</v>
      </c>
      <c r="J269" s="33">
        <f t="shared" si="26"/>
        <v>18</v>
      </c>
      <c r="K269" s="33">
        <f t="shared" si="27"/>
        <v>34</v>
      </c>
      <c r="L269" s="32">
        <f t="shared" si="28"/>
        <v>0</v>
      </c>
      <c r="M269" s="29">
        <f>('Elo model'!$E$14*PlayerStats!D190) + ('Elo model'!$F$14*(1/PlayerStats!E190)) + ('Elo model'!$G$14*(PlayerStats!F190/1.75)) + ('Elo model'!$H$14*(PlayerStats!L190/4))</f>
        <v>7.5863095238095229E-2</v>
      </c>
      <c r="N269" s="21">
        <f>_xlfn.MINIFS(GameStats!B:B,GameStats!C:C,A269)</f>
        <v>45422</v>
      </c>
      <c r="O269" s="21">
        <f>_xlfn.MAXIFS(GameStats!B:B,GameStats!C:C,A269)</f>
        <v>45422</v>
      </c>
      <c r="P269" t="b">
        <f t="shared" si="29"/>
        <v>1</v>
      </c>
    </row>
    <row r="270" spans="1:17" customFormat="1" ht="14.4" x14ac:dyDescent="0.3">
      <c r="A270" s="20" t="str">
        <f>'All Players'!A182</f>
        <v>fakowee</v>
      </c>
      <c r="B270" s="20">
        <f>COUNTIFS(GameStats!C:C,A270,GameStats!D:D,"1",GameStats!B:B,"&gt;="&amp;$Q$1)</f>
        <v>0</v>
      </c>
      <c r="C270" s="20">
        <f>COUNTIFS(GameStats!C:C,A270,GameStats!B:B,"&gt;="&amp;$Q$1)</f>
        <v>1</v>
      </c>
      <c r="D270" s="22">
        <f t="shared" si="24"/>
        <v>0</v>
      </c>
      <c r="E270" s="31">
        <f>SUMIFS(GameStats!D:D,GameStats!C:C,A270,GameStats!B:B,"&gt;="&amp;$Q$1)/C270</f>
        <v>22</v>
      </c>
      <c r="F270" s="32">
        <f t="shared" si="25"/>
        <v>0.37037037037037035</v>
      </c>
      <c r="G270" s="20">
        <f>COUNTIFS(GameStats!I:I,A270,GameStats!B:B,"&gt;="&amp;$Q$1)</f>
        <v>0</v>
      </c>
      <c r="H270" s="33">
        <f>SUMIFS(GameStats!F:F,GameStats!C:C,A270,GameStats!B:B,"&gt;="&amp;$Q$1)</f>
        <v>10</v>
      </c>
      <c r="I270" s="33">
        <f>SUMIFS(GameStats!G:G,GameStats!C:C,A270,GameStats!B:B,"&gt;="&amp;$Q$1)</f>
        <v>27</v>
      </c>
      <c r="J270" s="33">
        <f t="shared" si="26"/>
        <v>10</v>
      </c>
      <c r="K270" s="33">
        <f t="shared" si="27"/>
        <v>27</v>
      </c>
      <c r="L270" s="32">
        <f t="shared" si="28"/>
        <v>0</v>
      </c>
      <c r="M270" s="29">
        <f>('Elo model'!$E$14*PlayerStats!D182) + ('Elo model'!$F$14*(1/PlayerStats!E182)) + ('Elo model'!$G$14*(PlayerStats!F182/1.75)) + ('Elo model'!$H$14*(PlayerStats!L182/4))</f>
        <v>8.0658838878016947E-2</v>
      </c>
      <c r="N270" s="21">
        <f>_xlfn.MINIFS(GameStats!B:B,GameStats!C:C,A270)</f>
        <v>45415</v>
      </c>
      <c r="O270" s="21">
        <f>_xlfn.MAXIFS(GameStats!B:B,GameStats!C:C,A270)</f>
        <v>45415</v>
      </c>
      <c r="P270" t="b">
        <f t="shared" si="29"/>
        <v>1</v>
      </c>
    </row>
    <row r="271" spans="1:17" customFormat="1" ht="14.4" x14ac:dyDescent="0.3">
      <c r="A271" s="20" t="str">
        <f>'All Players'!A152</f>
        <v>ratuni</v>
      </c>
      <c r="B271" s="20">
        <f>COUNTIFS(GameStats!C:C,A271,GameStats!D:D,"1",GameStats!B:B,"&gt;="&amp;$Q$1)</f>
        <v>0</v>
      </c>
      <c r="C271" s="20">
        <f>COUNTIFS(GameStats!C:C,A271,GameStats!B:B,"&gt;="&amp;$Q$1)</f>
        <v>1</v>
      </c>
      <c r="D271" s="22">
        <f t="shared" si="24"/>
        <v>0</v>
      </c>
      <c r="E271" s="31">
        <f>SUMIFS(GameStats!D:D,GameStats!C:C,A271,GameStats!B:B,"&gt;="&amp;$Q$1)/C271</f>
        <v>22</v>
      </c>
      <c r="F271" s="32">
        <f t="shared" si="25"/>
        <v>0.27777777777777779</v>
      </c>
      <c r="G271" s="20">
        <f>COUNTIFS(GameStats!I:I,A271,GameStats!B:B,"&gt;="&amp;$Q$1)</f>
        <v>0</v>
      </c>
      <c r="H271" s="33">
        <f>SUMIFS(GameStats!F:F,GameStats!C:C,A271,GameStats!B:B,"&gt;="&amp;$Q$1)</f>
        <v>5</v>
      </c>
      <c r="I271" s="33">
        <f>SUMIFS(GameStats!G:G,GameStats!C:C,A271,GameStats!B:B,"&gt;="&amp;$Q$1)</f>
        <v>18</v>
      </c>
      <c r="J271" s="33">
        <f t="shared" si="26"/>
        <v>5</v>
      </c>
      <c r="K271" s="33">
        <f t="shared" si="27"/>
        <v>18</v>
      </c>
      <c r="L271" s="32">
        <f t="shared" si="28"/>
        <v>0</v>
      </c>
      <c r="M271" s="29">
        <f>('Elo model'!$E$14*PlayerStats!D152) + ('Elo model'!$F$14*(1/PlayerStats!E152)) + ('Elo model'!$G$14*(PlayerStats!F152/1.75)) + ('Elo model'!$H$14*(PlayerStats!L152/4))</f>
        <v>9.82098982098982E-2</v>
      </c>
      <c r="N271" s="21">
        <f>_xlfn.MINIFS(GameStats!B:B,GameStats!C:C,A271)</f>
        <v>45387</v>
      </c>
      <c r="O271" s="21">
        <f>_xlfn.MAXIFS(GameStats!B:B,GameStats!C:C,A271)</f>
        <v>45387</v>
      </c>
      <c r="P271" t="b">
        <f t="shared" si="29"/>
        <v>1</v>
      </c>
    </row>
    <row r="272" spans="1:17" customFormat="1" ht="14.4" x14ac:dyDescent="0.3">
      <c r="A272" s="20" t="str">
        <f>'All Players'!A71</f>
        <v>HAI</v>
      </c>
      <c r="B272" s="20">
        <f>COUNTIFS(GameStats!C:C,A272,GameStats!D:D,"1",GameStats!B:B,"&gt;="&amp;$Q$1)</f>
        <v>0</v>
      </c>
      <c r="C272" s="20">
        <f>COUNTIFS(GameStats!C:C,A272,GameStats!B:B,"&gt;="&amp;$Q$1)</f>
        <v>1</v>
      </c>
      <c r="D272" s="22">
        <f t="shared" si="24"/>
        <v>0</v>
      </c>
      <c r="E272" s="31">
        <f>SUMIFS(GameStats!D:D,GameStats!C:C,A272,GameStats!B:B,"&gt;="&amp;$Q$1)/C272</f>
        <v>22</v>
      </c>
      <c r="F272" s="32">
        <f t="shared" si="25"/>
        <v>0.31818181818181818</v>
      </c>
      <c r="G272" s="20">
        <f>COUNTIFS(GameStats!I:I,A272,GameStats!B:B,"&gt;="&amp;$Q$1)</f>
        <v>0</v>
      </c>
      <c r="H272" s="33">
        <f>SUMIFS(GameStats!F:F,GameStats!C:C,A272,GameStats!B:B,"&gt;="&amp;$Q$1)</f>
        <v>7</v>
      </c>
      <c r="I272" s="33">
        <f>SUMIFS(GameStats!G:G,GameStats!C:C,A272,GameStats!B:B,"&gt;="&amp;$Q$1)</f>
        <v>22</v>
      </c>
      <c r="J272" s="33">
        <f t="shared" si="26"/>
        <v>7</v>
      </c>
      <c r="K272" s="33">
        <f t="shared" si="27"/>
        <v>22</v>
      </c>
      <c r="L272" s="32">
        <f t="shared" si="28"/>
        <v>0</v>
      </c>
      <c r="M272" s="29">
        <f>('Elo model'!$E$14*PlayerStats!D71) + ('Elo model'!$F$14*(1/PlayerStats!E71)) + ('Elo model'!$G$14*(PlayerStats!F71/1.75)) + ('Elo model'!$H$14*(PlayerStats!L71/4))</f>
        <v>0.13633251963489704</v>
      </c>
      <c r="N272" s="21">
        <f>_xlfn.MINIFS(GameStats!B:B,GameStats!C:C,A272)</f>
        <v>45009</v>
      </c>
      <c r="O272" s="21">
        <f>_xlfn.MAXIFS(GameStats!B:B,GameStats!C:C,A272)</f>
        <v>45009</v>
      </c>
      <c r="P272" t="b">
        <f t="shared" si="29"/>
        <v>1</v>
      </c>
      <c r="Q272" s="20"/>
    </row>
    <row r="273" spans="1:17" customFormat="1" ht="14.4" x14ac:dyDescent="0.3">
      <c r="A273" s="20" t="str">
        <f>'All Players'!A147</f>
        <v>ivantm</v>
      </c>
      <c r="B273" s="20">
        <f>COUNTIFS(GameStats!C:C,A273,GameStats!D:D,"1",GameStats!B:B,"&gt;="&amp;$Q$1)</f>
        <v>0</v>
      </c>
      <c r="C273" s="20">
        <f>COUNTIFS(GameStats!C:C,A273,GameStats!B:B,"&gt;="&amp;$Q$1)</f>
        <v>1</v>
      </c>
      <c r="D273" s="22">
        <f t="shared" si="24"/>
        <v>0</v>
      </c>
      <c r="E273" s="31">
        <f>SUMIFS(GameStats!D:D,GameStats!C:C,A273,GameStats!B:B,"&gt;="&amp;$Q$1)/C273</f>
        <v>22</v>
      </c>
      <c r="F273" s="32">
        <f t="shared" si="25"/>
        <v>0.64444444444444449</v>
      </c>
      <c r="G273" s="20">
        <f>COUNTIFS(GameStats!I:I,A273,GameStats!B:B,"&gt;="&amp;$Q$1)</f>
        <v>0</v>
      </c>
      <c r="H273" s="33">
        <f>SUMIFS(GameStats!F:F,GameStats!C:C,A273,GameStats!B:B,"&gt;="&amp;$Q$1)</f>
        <v>29</v>
      </c>
      <c r="I273" s="33">
        <f>SUMIFS(GameStats!G:G,GameStats!C:C,A273,GameStats!B:B,"&gt;="&amp;$Q$1)</f>
        <v>45</v>
      </c>
      <c r="J273" s="33">
        <f t="shared" si="26"/>
        <v>29</v>
      </c>
      <c r="K273" s="33">
        <f t="shared" si="27"/>
        <v>45</v>
      </c>
      <c r="L273" s="32">
        <f t="shared" si="28"/>
        <v>0</v>
      </c>
      <c r="M273" s="29">
        <f>('Elo model'!$E$14*PlayerStats!D147) + ('Elo model'!$F$14*(1/PlayerStats!E147)) + ('Elo model'!$G$14*(PlayerStats!F147/1.75)) + ('Elo model'!$H$14*(PlayerStats!L147/4))</f>
        <v>0.11524635669673838</v>
      </c>
      <c r="N273" s="21">
        <f>_xlfn.MINIFS(GameStats!B:B,GameStats!C:C,A273)</f>
        <v>45380</v>
      </c>
      <c r="O273" s="21">
        <f>_xlfn.MAXIFS(GameStats!B:B,GameStats!C:C,A273)</f>
        <v>45380</v>
      </c>
      <c r="P273" t="b">
        <f t="shared" si="29"/>
        <v>1</v>
      </c>
      <c r="Q273" s="20"/>
    </row>
    <row r="274" spans="1:17" customFormat="1" ht="14.4" x14ac:dyDescent="0.3">
      <c r="A274" s="20" t="str">
        <f>'All Players'!A202</f>
        <v>wmaurer</v>
      </c>
      <c r="B274" s="20">
        <f>COUNTIFS(GameStats!C:C,A274,GameStats!D:D,"1",GameStats!B:B,"&gt;="&amp;$Q$1)</f>
        <v>0</v>
      </c>
      <c r="C274" s="20">
        <f>COUNTIFS(GameStats!C:C,A274,GameStats!B:B,"&gt;="&amp;$Q$1)</f>
        <v>1</v>
      </c>
      <c r="D274" s="22">
        <f t="shared" si="24"/>
        <v>0</v>
      </c>
      <c r="E274" s="31">
        <f>SUMIFS(GameStats!D:D,GameStats!C:C,A274,GameStats!B:B,"&gt;="&amp;$Q$1)/C274</f>
        <v>22</v>
      </c>
      <c r="F274" s="32">
        <f t="shared" si="25"/>
        <v>0.43181818181818182</v>
      </c>
      <c r="G274" s="20">
        <f>COUNTIFS(GameStats!I:I,A274,GameStats!B:B,"&gt;="&amp;$Q$1)</f>
        <v>0</v>
      </c>
      <c r="H274" s="33">
        <f>SUMIFS(GameStats!F:F,GameStats!C:C,A274,GameStats!B:B,"&gt;="&amp;$Q$1)</f>
        <v>19</v>
      </c>
      <c r="I274" s="33">
        <f>SUMIFS(GameStats!G:G,GameStats!C:C,A274,GameStats!B:B,"&gt;="&amp;$Q$1)</f>
        <v>44</v>
      </c>
      <c r="J274" s="33">
        <f t="shared" si="26"/>
        <v>19</v>
      </c>
      <c r="K274" s="33">
        <f t="shared" si="27"/>
        <v>44</v>
      </c>
      <c r="L274" s="32">
        <f t="shared" si="28"/>
        <v>0</v>
      </c>
      <c r="M274" s="29">
        <f>('Elo model'!$E$14*PlayerStats!D202) + ('Elo model'!$F$14*(1/PlayerStats!E202)) + ('Elo model'!$G$14*(PlayerStats!F202/1.75)) + ('Elo model'!$H$14*(PlayerStats!L202/4))</f>
        <v>8.226036177182737E-2</v>
      </c>
      <c r="N274" s="21">
        <f>_xlfn.MINIFS(GameStats!B:B,GameStats!C:C,A274)</f>
        <v>45436</v>
      </c>
      <c r="O274" s="21">
        <f>_xlfn.MAXIFS(GameStats!B:B,GameStats!C:C,A274)</f>
        <v>45436</v>
      </c>
      <c r="P274" t="b">
        <f t="shared" si="29"/>
        <v>1</v>
      </c>
    </row>
    <row r="275" spans="1:17" customFormat="1" ht="14.4" x14ac:dyDescent="0.3">
      <c r="A275" s="20" t="str">
        <f>'All Players'!A162</f>
        <v>lj2100</v>
      </c>
      <c r="B275" s="20">
        <f>COUNTIFS(GameStats!C:C,A275,GameStats!D:D,"1",GameStats!B:B,"&gt;="&amp;$Q$1)</f>
        <v>0</v>
      </c>
      <c r="C275" s="20">
        <f>COUNTIFS(GameStats!C:C,A275,GameStats!B:B,"&gt;="&amp;$Q$1)</f>
        <v>1</v>
      </c>
      <c r="D275" s="22">
        <f t="shared" si="24"/>
        <v>0</v>
      </c>
      <c r="E275" s="31">
        <f>SUMIFS(GameStats!D:D,GameStats!C:C,A275,GameStats!B:B,"&gt;="&amp;$Q$1)/C275</f>
        <v>22</v>
      </c>
      <c r="F275" s="32">
        <f t="shared" si="25"/>
        <v>0.55714285714285716</v>
      </c>
      <c r="G275" s="20">
        <f>COUNTIFS(GameStats!I:I,A275,GameStats!B:B,"&gt;="&amp;$Q$1)</f>
        <v>2</v>
      </c>
      <c r="H275" s="33">
        <f>SUMIFS(GameStats!F:F,GameStats!C:C,A275,GameStats!B:B,"&gt;="&amp;$Q$1)</f>
        <v>117</v>
      </c>
      <c r="I275" s="33">
        <f>SUMIFS(GameStats!G:G,GameStats!C:C,A275,GameStats!B:B,"&gt;="&amp;$Q$1)</f>
        <v>210</v>
      </c>
      <c r="J275" s="33">
        <f t="shared" si="26"/>
        <v>117</v>
      </c>
      <c r="K275" s="33">
        <f t="shared" si="27"/>
        <v>210</v>
      </c>
      <c r="L275" s="32">
        <f t="shared" si="28"/>
        <v>2</v>
      </c>
      <c r="M275" s="29">
        <f>('Elo model'!$E$14*PlayerStats!D162) + ('Elo model'!$F$14*(1/PlayerStats!E162)) + ('Elo model'!$G$14*(PlayerStats!F162/1.75)) + ('Elo model'!$H$14*(PlayerStats!L162/4))</f>
        <v>0.19818146455314595</v>
      </c>
      <c r="N275" s="21">
        <f>_xlfn.MINIFS(GameStats!B:B,GameStats!C:C,A275)</f>
        <v>45394</v>
      </c>
      <c r="O275" s="21">
        <f>_xlfn.MAXIFS(GameStats!B:B,GameStats!C:C,A275)</f>
        <v>45394</v>
      </c>
      <c r="P275" t="b">
        <f t="shared" si="29"/>
        <v>1</v>
      </c>
      <c r="Q275" s="20"/>
    </row>
    <row r="276" spans="1:17" customFormat="1" ht="14.4" x14ac:dyDescent="0.3">
      <c r="A276" s="20" t="str">
        <f>'All Players'!A215</f>
        <v>Mansis</v>
      </c>
      <c r="B276" s="20">
        <f>COUNTIFS(GameStats!C:C,A276,GameStats!D:D,"1",GameStats!B:B,"&gt;="&amp;$Q$1)</f>
        <v>0</v>
      </c>
      <c r="C276" s="20">
        <f>COUNTIFS(GameStats!C:C,A276,GameStats!B:B,"&gt;="&amp;$Q$1)</f>
        <v>1</v>
      </c>
      <c r="D276" s="22">
        <f t="shared" si="24"/>
        <v>0</v>
      </c>
      <c r="E276" s="31">
        <f>SUMIFS(GameStats!D:D,GameStats!C:C,A276,GameStats!B:B,"&gt;="&amp;$Q$1)/C276</f>
        <v>22</v>
      </c>
      <c r="F276" s="32">
        <f t="shared" si="25"/>
        <v>0.33333333333333331</v>
      </c>
      <c r="G276" s="20">
        <f>COUNTIFS(GameStats!I:I,A276,GameStats!B:B,"&gt;="&amp;$Q$1)</f>
        <v>0</v>
      </c>
      <c r="H276" s="33">
        <f>SUMIFS(GameStats!F:F,GameStats!C:C,A276,GameStats!B:B,"&gt;="&amp;$Q$1)</f>
        <v>10</v>
      </c>
      <c r="I276" s="33">
        <f>SUMIFS(GameStats!G:G,GameStats!C:C,A276,GameStats!B:B,"&gt;="&amp;$Q$1)</f>
        <v>30</v>
      </c>
      <c r="J276" s="33">
        <f t="shared" si="26"/>
        <v>10</v>
      </c>
      <c r="K276" s="33">
        <f t="shared" si="27"/>
        <v>30</v>
      </c>
      <c r="L276" s="32">
        <f t="shared" si="28"/>
        <v>0</v>
      </c>
      <c r="M276" s="29">
        <f>('Elo model'!$E$14*PlayerStats!D215) + ('Elo model'!$F$14*(1/PlayerStats!E215)) + ('Elo model'!$G$14*(PlayerStats!F215/1.75)) + ('Elo model'!$H$14*(PlayerStats!L215/4))</f>
        <v>8.2651324225140377E-2</v>
      </c>
      <c r="N276" s="21">
        <f>_xlfn.MINIFS(GameStats!B:B,GameStats!C:C,A276)</f>
        <v>45450</v>
      </c>
      <c r="O276" s="21">
        <f>_xlfn.MAXIFS(GameStats!B:B,GameStats!C:C,A276)</f>
        <v>45450</v>
      </c>
      <c r="P276" t="b">
        <f t="shared" si="29"/>
        <v>1</v>
      </c>
    </row>
    <row r="277" spans="1:17" customFormat="1" ht="14.4" x14ac:dyDescent="0.3">
      <c r="A277" s="20" t="str">
        <f>'All Players'!A222</f>
        <v>HobbitSlayer</v>
      </c>
      <c r="B277" s="20">
        <f>COUNTIFS(GameStats!C:C,A277,GameStats!D:D,"1",GameStats!B:B,"&gt;="&amp;$Q$1)</f>
        <v>0</v>
      </c>
      <c r="C277" s="20">
        <f>COUNTIFS(GameStats!C:C,A277,GameStats!B:B,"&gt;="&amp;$Q$1)</f>
        <v>1</v>
      </c>
      <c r="D277" s="22">
        <f t="shared" si="24"/>
        <v>0</v>
      </c>
      <c r="E277" s="31">
        <f>SUMIFS(GameStats!D:D,GameStats!C:C,A277,GameStats!B:B,"&gt;="&amp;$Q$1)/C277</f>
        <v>22</v>
      </c>
      <c r="F277" s="32">
        <f t="shared" si="25"/>
        <v>0.51111111111111107</v>
      </c>
      <c r="G277" s="20">
        <f>COUNTIFS(GameStats!I:I,A277,GameStats!B:B,"&gt;="&amp;$Q$1)</f>
        <v>0</v>
      </c>
      <c r="H277" s="33">
        <f>SUMIFS(GameStats!F:F,GameStats!C:C,A277,GameStats!B:B,"&gt;="&amp;$Q$1)</f>
        <v>23</v>
      </c>
      <c r="I277" s="33">
        <f>SUMIFS(GameStats!G:G,GameStats!C:C,A277,GameStats!B:B,"&gt;="&amp;$Q$1)</f>
        <v>45</v>
      </c>
      <c r="J277" s="33">
        <f t="shared" si="26"/>
        <v>23</v>
      </c>
      <c r="K277" s="33">
        <f t="shared" si="27"/>
        <v>45</v>
      </c>
      <c r="L277" s="32">
        <f t="shared" si="28"/>
        <v>0</v>
      </c>
      <c r="M277" s="29">
        <f>('Elo model'!$E$14*PlayerStats!D222) + ('Elo model'!$F$14*(1/PlayerStats!E222)) + ('Elo model'!$G$14*(PlayerStats!F222/1.75)) + ('Elo model'!$H$14*(PlayerStats!L222/4))</f>
        <v>5.9787506400409626E-2</v>
      </c>
      <c r="N277" s="21">
        <f>_xlfn.MINIFS(GameStats!B:B,GameStats!C:C,A277)</f>
        <v>45457</v>
      </c>
      <c r="O277" s="21">
        <f>_xlfn.MAXIFS(GameStats!B:B,GameStats!C:C,A277)</f>
        <v>45457</v>
      </c>
      <c r="P277" t="b">
        <f t="shared" si="29"/>
        <v>1</v>
      </c>
    </row>
    <row r="278" spans="1:17" customFormat="1" ht="14.4" x14ac:dyDescent="0.3">
      <c r="A278" s="20" t="str">
        <f>'All Players'!A258</f>
        <v>BattlePants</v>
      </c>
      <c r="B278" s="20">
        <f>COUNTIFS(GameStats!C:C,A278,GameStats!D:D,"1",GameStats!B:B,"&gt;="&amp;$Q$1)</f>
        <v>0</v>
      </c>
      <c r="C278" s="20">
        <f>COUNTIFS(GameStats!C:C,A278,GameStats!B:B,"&gt;="&amp;$Q$1)</f>
        <v>1</v>
      </c>
      <c r="D278" s="22">
        <f t="shared" si="24"/>
        <v>0</v>
      </c>
      <c r="E278" s="31">
        <f>SUMIFS(GameStats!D:D,GameStats!C:C,A278,GameStats!B:B,"&gt;="&amp;$Q$1)/C278</f>
        <v>22</v>
      </c>
      <c r="F278" s="32">
        <f t="shared" si="25"/>
        <v>0.47058823529411764</v>
      </c>
      <c r="G278" s="20">
        <f>COUNTIFS(GameStats!I:I,A278,GameStats!B:B,"&gt;="&amp;$Q$1)</f>
        <v>0</v>
      </c>
      <c r="H278" s="33">
        <f>SUMIFS(GameStats!F:F,GameStats!C:C,A278,GameStats!B:B,"&gt;="&amp;$Q$1)</f>
        <v>8</v>
      </c>
      <c r="I278" s="33">
        <f>SUMIFS(GameStats!G:G,GameStats!C:C,A278,GameStats!B:B,"&gt;="&amp;$Q$1)</f>
        <v>17</v>
      </c>
      <c r="J278" s="33">
        <f t="shared" si="26"/>
        <v>8</v>
      </c>
      <c r="K278" s="33">
        <f t="shared" si="27"/>
        <v>17</v>
      </c>
      <c r="L278" s="32">
        <f t="shared" si="28"/>
        <v>0</v>
      </c>
      <c r="M278" s="29">
        <f>('Elo model'!$E$14*PlayerStats!D258) + ('Elo model'!$F$14*(1/PlayerStats!E258)) + ('Elo model'!$G$14*(PlayerStats!F258/1.75)) + ('Elo model'!$H$14*(PlayerStats!L258/4))</f>
        <v>4.7033567525370801E-2</v>
      </c>
      <c r="N278" s="21">
        <f>_xlfn.MINIFS(GameStats!B:B,GameStats!C:C,A278)</f>
        <v>45506</v>
      </c>
      <c r="O278" s="21">
        <f>_xlfn.MAXIFS(GameStats!B:B,GameStats!C:C,A278)</f>
        <v>45506</v>
      </c>
      <c r="P278" t="b">
        <f t="shared" si="29"/>
        <v>1</v>
      </c>
    </row>
    <row r="279" spans="1:17" customFormat="1" ht="14.4" x14ac:dyDescent="0.3">
      <c r="A279" s="20" t="str">
        <f>'All Players'!A270</f>
        <v>Strider</v>
      </c>
      <c r="B279" s="20">
        <f>COUNTIFS(GameStats!C:C,A279,GameStats!D:D,"1",GameStats!B:B,"&gt;="&amp;$Q$1)</f>
        <v>0</v>
      </c>
      <c r="C279" s="20">
        <f>COUNTIFS(GameStats!C:C,A279,GameStats!B:B,"&gt;="&amp;$Q$1)</f>
        <v>1</v>
      </c>
      <c r="D279" s="22">
        <f t="shared" si="24"/>
        <v>0</v>
      </c>
      <c r="E279" s="31">
        <f>SUMIFS(GameStats!D:D,GameStats!C:C,A279,GameStats!B:B,"&gt;="&amp;$Q$1)/C279</f>
        <v>22</v>
      </c>
      <c r="F279" s="32">
        <f t="shared" si="25"/>
        <v>0.69518716577540107</v>
      </c>
      <c r="G279" s="20">
        <f>COUNTIFS(GameStats!I:I,A279,GameStats!B:B,"&gt;="&amp;$Q$1)</f>
        <v>0</v>
      </c>
      <c r="H279" s="33">
        <f>SUMIFS(GameStats!F:F,GameStats!C:C,A279,GameStats!B:B,"&gt;="&amp;$Q$1)</f>
        <v>130</v>
      </c>
      <c r="I279" s="33">
        <f>SUMIFS(GameStats!G:G,GameStats!C:C,A279,GameStats!B:B,"&gt;="&amp;$Q$1)</f>
        <v>187</v>
      </c>
      <c r="J279" s="33">
        <f t="shared" si="26"/>
        <v>130</v>
      </c>
      <c r="K279" s="33">
        <f t="shared" si="27"/>
        <v>187</v>
      </c>
      <c r="L279" s="32">
        <f t="shared" si="28"/>
        <v>0</v>
      </c>
      <c r="M279" s="29">
        <f>('Elo model'!$E$14*PlayerStats!D270) + ('Elo model'!$F$14*(1/PlayerStats!E270)) + ('Elo model'!$G$14*(PlayerStats!F270/1.75)) + ('Elo model'!$H$14*(PlayerStats!L270/4))</f>
        <v>4.3109668109668112E-2</v>
      </c>
      <c r="N279" s="21">
        <f>_xlfn.MINIFS(GameStats!B:B,GameStats!C:C,A279)</f>
        <v>45534</v>
      </c>
      <c r="O279" s="21">
        <f>_xlfn.MAXIFS(GameStats!B:B,GameStats!C:C,A279)</f>
        <v>45534</v>
      </c>
      <c r="P279" t="b">
        <f t="shared" si="29"/>
        <v>1</v>
      </c>
    </row>
    <row r="280" spans="1:17" customFormat="1" ht="14.4" x14ac:dyDescent="0.3">
      <c r="A280" s="20" t="str">
        <f>'All Players'!A277</f>
        <v>Nevill</v>
      </c>
      <c r="B280" s="20">
        <f>COUNTIFS(GameStats!C:C,A280,GameStats!D:D,"1",GameStats!B:B,"&gt;="&amp;$Q$1)</f>
        <v>0</v>
      </c>
      <c r="C280" s="20">
        <f>COUNTIFS(GameStats!C:C,A280,GameStats!B:B,"&gt;="&amp;$Q$1)</f>
        <v>1</v>
      </c>
      <c r="D280" s="22">
        <f t="shared" si="24"/>
        <v>0</v>
      </c>
      <c r="E280" s="31">
        <f>SUMIFS(GameStats!D:D,GameStats!C:C,A280,GameStats!B:B,"&gt;="&amp;$Q$1)/C280</f>
        <v>22</v>
      </c>
      <c r="F280" s="32">
        <f t="shared" si="25"/>
        <v>1.75</v>
      </c>
      <c r="G280" s="20">
        <f>COUNTIFS(GameStats!I:I,A280,GameStats!B:B,"&gt;="&amp;$Q$1)</f>
        <v>0</v>
      </c>
      <c r="H280" s="33">
        <f>SUMIFS(GameStats!F:F,GameStats!C:C,A280,GameStats!B:B,"&gt;="&amp;$Q$1)</f>
        <v>7</v>
      </c>
      <c r="I280" s="33">
        <f>SUMIFS(GameStats!G:G,GameStats!C:C,A280,GameStats!B:B,"&gt;="&amp;$Q$1)</f>
        <v>4</v>
      </c>
      <c r="J280" s="33">
        <f t="shared" si="26"/>
        <v>7</v>
      </c>
      <c r="K280" s="33">
        <f t="shared" si="27"/>
        <v>4</v>
      </c>
      <c r="L280" s="32">
        <f t="shared" si="28"/>
        <v>0</v>
      </c>
      <c r="M280" s="29">
        <f>('Elo model'!$E$14*PlayerStats!D277) + ('Elo model'!$F$14*(1/PlayerStats!E277)) + ('Elo model'!$G$14*(PlayerStats!F277/1.75)) + ('Elo model'!$H$14*(PlayerStats!L277/4))</f>
        <v>5.5173160173160166E-2</v>
      </c>
      <c r="N280" s="21">
        <f>_xlfn.MINIFS(GameStats!B:B,GameStats!C:C,A280)</f>
        <v>45541</v>
      </c>
      <c r="O280" s="21">
        <f>_xlfn.MAXIFS(GameStats!B:B,GameStats!C:C,A280)</f>
        <v>45541</v>
      </c>
      <c r="P280" t="b">
        <f t="shared" si="29"/>
        <v>1</v>
      </c>
    </row>
    <row r="281" spans="1:17" customFormat="1" ht="14.4" x14ac:dyDescent="0.3">
      <c r="A281" s="20" t="str">
        <f>'All Players'!A282</f>
        <v>MiniMoto</v>
      </c>
      <c r="B281" s="20">
        <f>COUNTIFS(GameStats!C:C,A281,GameStats!D:D,"1",GameStats!B:B,"&gt;="&amp;$Q$1)</f>
        <v>0</v>
      </c>
      <c r="C281" s="20">
        <f>COUNTIFS(GameStats!C:C,A281,GameStats!B:B,"&gt;="&amp;$Q$1)</f>
        <v>1</v>
      </c>
      <c r="D281" s="22">
        <f t="shared" si="24"/>
        <v>0</v>
      </c>
      <c r="E281" s="31">
        <f>SUMIFS(GameStats!D:D,GameStats!C:C,A281,GameStats!B:B,"&gt;="&amp;$Q$1)/C281</f>
        <v>22</v>
      </c>
      <c r="F281" s="32">
        <f t="shared" si="25"/>
        <v>0.54054054054054057</v>
      </c>
      <c r="G281" s="20">
        <f>COUNTIFS(GameStats!I:I,A281,GameStats!B:B,"&gt;="&amp;$Q$1)</f>
        <v>0</v>
      </c>
      <c r="H281" s="33">
        <f>SUMIFS(GameStats!F:F,GameStats!C:C,A281,GameStats!B:B,"&gt;="&amp;$Q$1)</f>
        <v>20</v>
      </c>
      <c r="I281" s="33">
        <f>SUMIFS(GameStats!G:G,GameStats!C:C,A281,GameStats!B:B,"&gt;="&amp;$Q$1)</f>
        <v>37</v>
      </c>
      <c r="J281" s="33">
        <f t="shared" si="26"/>
        <v>20</v>
      </c>
      <c r="K281" s="33">
        <f t="shared" si="27"/>
        <v>37</v>
      </c>
      <c r="L281" s="32">
        <f t="shared" si="28"/>
        <v>0</v>
      </c>
      <c r="M281" s="29">
        <f>('Elo model'!$E$14*PlayerStats!D282) + ('Elo model'!$F$14*(1/PlayerStats!E282)) + ('Elo model'!$G$14*(PlayerStats!F282/1.75)) + ('Elo model'!$H$14*(PlayerStats!L282/4))</f>
        <v>5.926279602750191E-2</v>
      </c>
      <c r="N281" s="21">
        <f>_xlfn.MINIFS(GameStats!B:B,GameStats!C:C,A281)</f>
        <v>45548</v>
      </c>
      <c r="O281" s="21">
        <f>_xlfn.MAXIFS(GameStats!B:B,GameStats!C:C,A281)</f>
        <v>45548</v>
      </c>
      <c r="P281" t="b">
        <f t="shared" si="29"/>
        <v>1</v>
      </c>
    </row>
    <row r="282" spans="1:17" customFormat="1" ht="14.4" x14ac:dyDescent="0.3">
      <c r="A282" s="20" t="str">
        <f>'All Players'!A293</f>
        <v>Draeme</v>
      </c>
      <c r="B282" s="20">
        <f>COUNTIFS(GameStats!C:C,A282,GameStats!D:D,"1",GameStats!B:B,"&gt;="&amp;$Q$1)</f>
        <v>0</v>
      </c>
      <c r="C282" s="20">
        <f>COUNTIFS(GameStats!C:C,A282,GameStats!B:B,"&gt;="&amp;$Q$1)</f>
        <v>1</v>
      </c>
      <c r="D282" s="22">
        <f t="shared" si="24"/>
        <v>0</v>
      </c>
      <c r="E282" s="31">
        <f>SUMIFS(GameStats!D:D,GameStats!C:C,A282,GameStats!B:B,"&gt;="&amp;$Q$1)/C282</f>
        <v>22</v>
      </c>
      <c r="F282" s="32">
        <f t="shared" si="25"/>
        <v>0.55882352941176472</v>
      </c>
      <c r="G282" s="20">
        <f>COUNTIFS(GameStats!I:I,A282,GameStats!B:B,"&gt;="&amp;$Q$1)</f>
        <v>0</v>
      </c>
      <c r="H282" s="33">
        <f>SUMIFS(GameStats!F:F,GameStats!C:C,A282,GameStats!B:B,"&gt;="&amp;$Q$1)</f>
        <v>19</v>
      </c>
      <c r="I282" s="33">
        <f>SUMIFS(GameStats!G:G,GameStats!C:C,A282,GameStats!B:B,"&gt;="&amp;$Q$1)</f>
        <v>34</v>
      </c>
      <c r="J282" s="33">
        <f t="shared" si="26"/>
        <v>19</v>
      </c>
      <c r="K282" s="33">
        <f t="shared" si="27"/>
        <v>34</v>
      </c>
      <c r="L282" s="32">
        <f t="shared" si="28"/>
        <v>0</v>
      </c>
      <c r="M282" s="29">
        <f>('Elo model'!$E$14*PlayerStats!D293) + ('Elo model'!$F$14*(1/PlayerStats!E293)) + ('Elo model'!$G$14*(PlayerStats!F293/1.75)) + ('Elo model'!$H$14*(PlayerStats!L293/4))</f>
        <v>8.8712130815058937E-2</v>
      </c>
      <c r="N282" s="21">
        <f>_xlfn.MINIFS(GameStats!B:B,GameStats!C:C,A282)</f>
        <v>45569</v>
      </c>
      <c r="O282" s="21">
        <f>_xlfn.MAXIFS(GameStats!B:B,GameStats!C:C,A282)</f>
        <v>45569</v>
      </c>
      <c r="P282" t="b">
        <f t="shared" si="29"/>
        <v>1</v>
      </c>
    </row>
    <row r="283" spans="1:17" customFormat="1" ht="14.4" x14ac:dyDescent="0.3">
      <c r="A283" s="20" t="str">
        <f>'All Players'!A153</f>
        <v>moist</v>
      </c>
      <c r="B283" s="20">
        <f>COUNTIFS(GameStats!C:C,A283,GameStats!D:D,"1",GameStats!B:B,"&gt;="&amp;$Q$1)</f>
        <v>0</v>
      </c>
      <c r="C283" s="20">
        <f>COUNTIFS(GameStats!C:C,A283,GameStats!B:B,"&gt;="&amp;$Q$1)</f>
        <v>1</v>
      </c>
      <c r="D283" s="22">
        <f t="shared" si="24"/>
        <v>0</v>
      </c>
      <c r="E283" s="31">
        <f>SUMIFS(GameStats!D:D,GameStats!C:C,A283,GameStats!B:B,"&gt;="&amp;$Q$1)/C283</f>
        <v>23</v>
      </c>
      <c r="F283" s="32">
        <f t="shared" si="25"/>
        <v>0.33333333333333331</v>
      </c>
      <c r="G283" s="20">
        <f>COUNTIFS(GameStats!I:I,A283,GameStats!B:B,"&gt;="&amp;$Q$1)</f>
        <v>0</v>
      </c>
      <c r="H283" s="33">
        <f>SUMIFS(GameStats!F:F,GameStats!C:C,A283,GameStats!B:B,"&gt;="&amp;$Q$1)</f>
        <v>1</v>
      </c>
      <c r="I283" s="33">
        <f>SUMIFS(GameStats!G:G,GameStats!C:C,A283,GameStats!B:B,"&gt;="&amp;$Q$1)</f>
        <v>3</v>
      </c>
      <c r="J283" s="33">
        <f t="shared" si="26"/>
        <v>1</v>
      </c>
      <c r="K283" s="33">
        <f t="shared" si="27"/>
        <v>3</v>
      </c>
      <c r="L283" s="32">
        <f t="shared" si="28"/>
        <v>0</v>
      </c>
      <c r="M283" s="29">
        <f>('Elo model'!$E$14*PlayerStats!D153) + ('Elo model'!$F$14*(1/PlayerStats!E153)) + ('Elo model'!$G$14*(PlayerStats!F153/1.75)) + ('Elo model'!$H$14*(PlayerStats!L153/4))</f>
        <v>3.9949468996231585E-2</v>
      </c>
      <c r="N283" s="21">
        <f>_xlfn.MINIFS(GameStats!B:B,GameStats!C:C,A283)</f>
        <v>45387</v>
      </c>
      <c r="O283" s="21">
        <f>_xlfn.MAXIFS(GameStats!B:B,GameStats!C:C,A283)</f>
        <v>45387</v>
      </c>
      <c r="P283" t="b">
        <f t="shared" si="29"/>
        <v>1</v>
      </c>
    </row>
    <row r="284" spans="1:17" customFormat="1" ht="14.4" x14ac:dyDescent="0.3">
      <c r="A284" s="20" t="str">
        <f>'All Players'!A49</f>
        <v>CryptoSense</v>
      </c>
      <c r="B284" s="20">
        <f>COUNTIFS(GameStats!C:C,A284,GameStats!D:D,"1",GameStats!B:B,"&gt;="&amp;$Q$1)</f>
        <v>0</v>
      </c>
      <c r="C284" s="20">
        <f>COUNTIFS(GameStats!C:C,A284,GameStats!B:B,"&gt;="&amp;$Q$1)</f>
        <v>1</v>
      </c>
      <c r="D284" s="22">
        <f t="shared" si="24"/>
        <v>0</v>
      </c>
      <c r="E284" s="31">
        <f>SUMIFS(GameStats!D:D,GameStats!C:C,A284,GameStats!B:B,"&gt;="&amp;$Q$1)/C284</f>
        <v>23</v>
      </c>
      <c r="F284" s="32">
        <f t="shared" si="25"/>
        <v>1.2</v>
      </c>
      <c r="G284" s="20">
        <f>COUNTIFS(GameStats!I:I,A284,GameStats!B:B,"&gt;="&amp;$Q$1)</f>
        <v>0</v>
      </c>
      <c r="H284" s="33">
        <f>SUMIFS(GameStats!F:F,GameStats!C:C,A284,GameStats!B:B,"&gt;="&amp;$Q$1)</f>
        <v>12</v>
      </c>
      <c r="I284" s="33">
        <f>SUMIFS(GameStats!G:G,GameStats!C:C,A284,GameStats!B:B,"&gt;="&amp;$Q$1)</f>
        <v>10</v>
      </c>
      <c r="J284" s="33">
        <f t="shared" si="26"/>
        <v>12</v>
      </c>
      <c r="K284" s="33">
        <f t="shared" si="27"/>
        <v>10</v>
      </c>
      <c r="L284" s="32">
        <f t="shared" si="28"/>
        <v>0</v>
      </c>
      <c r="M284" s="29">
        <f>('Elo model'!$E$14*PlayerStats!D49) + ('Elo model'!$F$14*(1/PlayerStats!E49)) + ('Elo model'!$G$14*PlayerStats!F49) + ('Elo model'!$H$14*(PlayerStats!L49/4))</f>
        <v>0.22680310696497746</v>
      </c>
      <c r="N284" s="21">
        <f>_xlfn.MINIFS(GameStats!B:B,GameStats!C:C,A284)</f>
        <v>44988</v>
      </c>
      <c r="O284" s="21">
        <f>_xlfn.MAXIFS(GameStats!B:B,GameStats!C:C,A284)</f>
        <v>44988</v>
      </c>
      <c r="P284" t="b">
        <f t="shared" si="29"/>
        <v>1</v>
      </c>
    </row>
    <row r="285" spans="1:17" customFormat="1" ht="14.4" x14ac:dyDescent="0.3">
      <c r="A285" s="20" t="str">
        <f>'All Players'!A114</f>
        <v>Mike</v>
      </c>
      <c r="B285" s="20">
        <f>COUNTIFS(GameStats!C:C,A285,GameStats!D:D,"1",GameStats!B:B,"&gt;="&amp;$Q$1)</f>
        <v>0</v>
      </c>
      <c r="C285" s="20">
        <f>COUNTIFS(GameStats!C:C,A285,GameStats!B:B,"&gt;="&amp;$Q$1)</f>
        <v>1</v>
      </c>
      <c r="D285" s="22">
        <f t="shared" si="24"/>
        <v>0</v>
      </c>
      <c r="E285" s="31">
        <f>SUMIFS(GameStats!D:D,GameStats!C:C,A285,GameStats!B:B,"&gt;="&amp;$Q$1)/C285</f>
        <v>23</v>
      </c>
      <c r="F285" s="32">
        <f t="shared" si="25"/>
        <v>0.14285714285714285</v>
      </c>
      <c r="G285" s="20">
        <f>COUNTIFS(GameStats!I:I,A285,GameStats!B:B,"&gt;="&amp;$Q$1)</f>
        <v>0</v>
      </c>
      <c r="H285" s="33">
        <f>SUMIFS(GameStats!F:F,GameStats!C:C,A285,GameStats!B:B,"&gt;="&amp;$Q$1)</f>
        <v>1</v>
      </c>
      <c r="I285" s="33">
        <f>SUMIFS(GameStats!G:G,GameStats!C:C,A285,GameStats!B:B,"&gt;="&amp;$Q$1)</f>
        <v>7</v>
      </c>
      <c r="J285" s="33">
        <f t="shared" si="26"/>
        <v>1</v>
      </c>
      <c r="K285" s="33">
        <f t="shared" si="27"/>
        <v>7</v>
      </c>
      <c r="L285" s="32">
        <f t="shared" si="28"/>
        <v>0</v>
      </c>
      <c r="M285" s="29">
        <f>('Elo model'!$E$14*PlayerStats!D114) + ('Elo model'!$F$14*(1/PlayerStats!E114)) + ('Elo model'!$G$14*(PlayerStats!F114/1.75)) + ('Elo model'!$H$14*(PlayerStats!L114/4))</f>
        <v>4.8703058459156026E-2</v>
      </c>
      <c r="N285" s="21">
        <f>_xlfn.MINIFS(GameStats!B:B,GameStats!C:C,A285)</f>
        <v>45037</v>
      </c>
      <c r="O285" s="21">
        <f>_xlfn.MAXIFS(GameStats!B:B,GameStats!C:C,A285)</f>
        <v>45037</v>
      </c>
      <c r="P285" t="b">
        <f t="shared" si="29"/>
        <v>1</v>
      </c>
    </row>
    <row r="286" spans="1:17" customFormat="1" ht="14.4" x14ac:dyDescent="0.3">
      <c r="A286" s="20" t="str">
        <f>'All Players'!A148</f>
        <v>marros</v>
      </c>
      <c r="B286" s="20">
        <f>COUNTIFS(GameStats!C:C,A286,GameStats!D:D,"1",GameStats!B:B,"&gt;="&amp;$Q$1)</f>
        <v>0</v>
      </c>
      <c r="C286" s="20">
        <f>COUNTIFS(GameStats!C:C,A286,GameStats!B:B,"&gt;="&amp;$Q$1)</f>
        <v>1</v>
      </c>
      <c r="D286" s="22">
        <f t="shared" si="24"/>
        <v>0</v>
      </c>
      <c r="E286" s="31">
        <f>SUMIFS(GameStats!D:D,GameStats!C:C,A286,GameStats!B:B,"&gt;="&amp;$Q$1)/C286</f>
        <v>23</v>
      </c>
      <c r="F286" s="32">
        <f t="shared" si="25"/>
        <v>0.77777777777777779</v>
      </c>
      <c r="G286" s="20">
        <f>COUNTIFS(GameStats!I:I,A286,GameStats!B:B,"&gt;="&amp;$Q$1)</f>
        <v>0</v>
      </c>
      <c r="H286" s="33">
        <f>SUMIFS(GameStats!F:F,GameStats!C:C,A286,GameStats!B:B,"&gt;="&amp;$Q$1)</f>
        <v>7</v>
      </c>
      <c r="I286" s="33">
        <f>SUMIFS(GameStats!G:G,GameStats!C:C,A286,GameStats!B:B,"&gt;="&amp;$Q$1)</f>
        <v>9</v>
      </c>
      <c r="J286" s="33">
        <f t="shared" si="26"/>
        <v>7</v>
      </c>
      <c r="K286" s="33">
        <f t="shared" si="27"/>
        <v>9</v>
      </c>
      <c r="L286" s="32">
        <f t="shared" si="28"/>
        <v>0</v>
      </c>
      <c r="M286" s="29">
        <f>('Elo model'!$E$14*PlayerStats!D148) + ('Elo model'!$F$14*(1/PlayerStats!E148)) + ('Elo model'!$G$14*(PlayerStats!F148/1.75)) + ('Elo model'!$H$14*(PlayerStats!L148/4))</f>
        <v>7.5184415584415576E-2</v>
      </c>
      <c r="N286" s="21">
        <f>_xlfn.MINIFS(GameStats!B:B,GameStats!C:C,A286)</f>
        <v>45380</v>
      </c>
      <c r="O286" s="21">
        <f>_xlfn.MAXIFS(GameStats!B:B,GameStats!C:C,A286)</f>
        <v>45380</v>
      </c>
      <c r="P286" t="b">
        <f t="shared" si="29"/>
        <v>1</v>
      </c>
      <c r="Q286" s="20"/>
    </row>
    <row r="287" spans="1:17" customFormat="1" ht="14.4" x14ac:dyDescent="0.3">
      <c r="A287" s="20" t="str">
        <f>'All Players'!A203</f>
        <v>Fluffy</v>
      </c>
      <c r="B287" s="20">
        <f>COUNTIFS(GameStats!C:C,A287,GameStats!D:D,"1",GameStats!B:B,"&gt;="&amp;$Q$1)</f>
        <v>0</v>
      </c>
      <c r="C287" s="20">
        <f>COUNTIFS(GameStats!C:C,A287,GameStats!B:B,"&gt;="&amp;$Q$1)</f>
        <v>1</v>
      </c>
      <c r="D287" s="22">
        <f t="shared" si="24"/>
        <v>0</v>
      </c>
      <c r="E287" s="31">
        <f>SUMIFS(GameStats!D:D,GameStats!C:C,A287,GameStats!B:B,"&gt;="&amp;$Q$1)/C287</f>
        <v>23</v>
      </c>
      <c r="F287" s="32">
        <f t="shared" si="25"/>
        <v>0.42105263157894735</v>
      </c>
      <c r="G287" s="20">
        <f>COUNTIFS(GameStats!I:I,A287,GameStats!B:B,"&gt;="&amp;$Q$1)</f>
        <v>0</v>
      </c>
      <c r="H287" s="33">
        <f>SUMIFS(GameStats!F:F,GameStats!C:C,A287,GameStats!B:B,"&gt;="&amp;$Q$1)</f>
        <v>16</v>
      </c>
      <c r="I287" s="33">
        <f>SUMIFS(GameStats!G:G,GameStats!C:C,A287,GameStats!B:B,"&gt;="&amp;$Q$1)</f>
        <v>38</v>
      </c>
      <c r="J287" s="33">
        <f t="shared" si="26"/>
        <v>16</v>
      </c>
      <c r="K287" s="33">
        <f t="shared" si="27"/>
        <v>38</v>
      </c>
      <c r="L287" s="32">
        <f t="shared" si="28"/>
        <v>0</v>
      </c>
      <c r="M287" s="29">
        <f>('Elo model'!$E$14*PlayerStats!D203) + ('Elo model'!$F$14*(1/PlayerStats!E203)) + ('Elo model'!$G$14*(PlayerStats!F203/1.75)) + ('Elo model'!$H$14*(PlayerStats!L203/4))</f>
        <v>0.12006302521008402</v>
      </c>
      <c r="N287" s="21">
        <f>_xlfn.MINIFS(GameStats!B:B,GameStats!C:C,A287)</f>
        <v>45436</v>
      </c>
      <c r="O287" s="21">
        <f>_xlfn.MAXIFS(GameStats!B:B,GameStats!C:C,A287)</f>
        <v>45436</v>
      </c>
      <c r="P287" t="b">
        <f t="shared" si="29"/>
        <v>1</v>
      </c>
    </row>
    <row r="288" spans="1:17" customFormat="1" ht="14.4" x14ac:dyDescent="0.3">
      <c r="A288" s="20" t="str">
        <f>'All Players'!A199</f>
        <v>teachmehow</v>
      </c>
      <c r="B288" s="20">
        <f>COUNTIFS(GameStats!C:C,A288,GameStats!D:D,"1",GameStats!B:B,"&gt;="&amp;$Q$1)</f>
        <v>0</v>
      </c>
      <c r="C288" s="20">
        <f>COUNTIFS(GameStats!C:C,A288,GameStats!B:B,"&gt;="&amp;$Q$1)</f>
        <v>1</v>
      </c>
      <c r="D288" s="22">
        <f t="shared" si="24"/>
        <v>0</v>
      </c>
      <c r="E288" s="31">
        <f>SUMIFS(GameStats!D:D,GameStats!C:C,A288,GameStats!B:B,"&gt;="&amp;$Q$1)/C288</f>
        <v>23</v>
      </c>
      <c r="F288" s="32">
        <f t="shared" si="25"/>
        <v>0.50847457627118642</v>
      </c>
      <c r="G288" s="20">
        <f>COUNTIFS(GameStats!I:I,A288,GameStats!B:B,"&gt;="&amp;$Q$1)</f>
        <v>0</v>
      </c>
      <c r="H288" s="33">
        <f>SUMIFS(GameStats!F:F,GameStats!C:C,A288,GameStats!B:B,"&gt;="&amp;$Q$1)</f>
        <v>30</v>
      </c>
      <c r="I288" s="33">
        <f>SUMIFS(GameStats!G:G,GameStats!C:C,A288,GameStats!B:B,"&gt;="&amp;$Q$1)</f>
        <v>59</v>
      </c>
      <c r="J288" s="33">
        <f t="shared" si="26"/>
        <v>30</v>
      </c>
      <c r="K288" s="33">
        <f t="shared" si="27"/>
        <v>59</v>
      </c>
      <c r="L288" s="32">
        <f t="shared" si="28"/>
        <v>0</v>
      </c>
      <c r="M288" s="29">
        <f>('Elo model'!$E$14*PlayerStats!D199) + ('Elo model'!$F$14*(1/PlayerStats!E199)) + ('Elo model'!$G$14*(PlayerStats!F199/1.75)) + ('Elo model'!$H$14*(PlayerStats!L199/4))</f>
        <v>5.8202684058698106E-2</v>
      </c>
      <c r="N288" s="21">
        <f>_xlfn.MINIFS(GameStats!B:B,GameStats!C:C,A288)</f>
        <v>45429</v>
      </c>
      <c r="O288" s="21">
        <f>_xlfn.MAXIFS(GameStats!B:B,GameStats!C:C,A288)</f>
        <v>45429</v>
      </c>
      <c r="P288" t="b">
        <f t="shared" si="29"/>
        <v>1</v>
      </c>
    </row>
    <row r="289" spans="1:17" customFormat="1" ht="14.4" x14ac:dyDescent="0.3">
      <c r="A289" s="20" t="str">
        <f>'All Players'!A191</f>
        <v>Aquarisk</v>
      </c>
      <c r="B289" s="20">
        <f>COUNTIFS(GameStats!C:C,A289,GameStats!D:D,"1",GameStats!B:B,"&gt;="&amp;$Q$1)</f>
        <v>0</v>
      </c>
      <c r="C289" s="20">
        <f>COUNTIFS(GameStats!C:C,A289,GameStats!B:B,"&gt;="&amp;$Q$1)</f>
        <v>1</v>
      </c>
      <c r="D289" s="22">
        <f t="shared" si="24"/>
        <v>0</v>
      </c>
      <c r="E289" s="31">
        <f>SUMIFS(GameStats!D:D,GameStats!C:C,A289,GameStats!B:B,"&gt;="&amp;$Q$1)/C289</f>
        <v>23</v>
      </c>
      <c r="F289" s="32">
        <f t="shared" si="25"/>
        <v>0.25</v>
      </c>
      <c r="G289" s="20">
        <f>COUNTIFS(GameStats!I:I,A289,GameStats!B:B,"&gt;="&amp;$Q$1)</f>
        <v>0</v>
      </c>
      <c r="H289" s="33">
        <f>SUMIFS(GameStats!F:F,GameStats!C:C,A289,GameStats!B:B,"&gt;="&amp;$Q$1)</f>
        <v>1</v>
      </c>
      <c r="I289" s="33">
        <f>SUMIFS(GameStats!G:G,GameStats!C:C,A289,GameStats!B:B,"&gt;="&amp;$Q$1)</f>
        <v>4</v>
      </c>
      <c r="J289" s="33">
        <f t="shared" si="26"/>
        <v>1</v>
      </c>
      <c r="K289" s="33">
        <f t="shared" si="27"/>
        <v>4</v>
      </c>
      <c r="L289" s="32">
        <f t="shared" si="28"/>
        <v>0</v>
      </c>
      <c r="M289" s="29">
        <f>('Elo model'!$E$14*PlayerStats!D191) + ('Elo model'!$F$14*(1/PlayerStats!E191)) + ('Elo model'!$G$14*(PlayerStats!F191/1.75)) + ('Elo model'!$H$14*(PlayerStats!L191/4))</f>
        <v>7.7042322834645668E-2</v>
      </c>
      <c r="N289" s="21">
        <f>_xlfn.MINIFS(GameStats!B:B,GameStats!C:C,A289)</f>
        <v>45422</v>
      </c>
      <c r="O289" s="21">
        <f>_xlfn.MAXIFS(GameStats!B:B,GameStats!C:C,A289)</f>
        <v>45422</v>
      </c>
      <c r="P289" t="b">
        <f t="shared" si="29"/>
        <v>1</v>
      </c>
    </row>
    <row r="290" spans="1:17" customFormat="1" ht="14.4" x14ac:dyDescent="0.3">
      <c r="A290" s="20" t="str">
        <f>'All Players'!A170</f>
        <v>grumpypants</v>
      </c>
      <c r="B290" s="20">
        <f>COUNTIFS(GameStats!C:C,A290,GameStats!D:D,"1",GameStats!B:B,"&gt;="&amp;$Q$1)</f>
        <v>0</v>
      </c>
      <c r="C290" s="20">
        <f>COUNTIFS(GameStats!C:C,A290,GameStats!B:B,"&gt;="&amp;$Q$1)</f>
        <v>1</v>
      </c>
      <c r="D290" s="22">
        <f t="shared" si="24"/>
        <v>0</v>
      </c>
      <c r="E290" s="31">
        <f>SUMIFS(GameStats!D:D,GameStats!C:C,A290,GameStats!B:B,"&gt;="&amp;$Q$1)/C290</f>
        <v>23</v>
      </c>
      <c r="F290" s="32">
        <f t="shared" si="25"/>
        <v>0.52631578947368418</v>
      </c>
      <c r="G290" s="20">
        <f>COUNTIFS(GameStats!I:I,A290,GameStats!B:B,"&gt;="&amp;$Q$1)</f>
        <v>0</v>
      </c>
      <c r="H290" s="33">
        <f>SUMIFS(GameStats!F:F,GameStats!C:C,A290,GameStats!B:B,"&gt;="&amp;$Q$1)</f>
        <v>10</v>
      </c>
      <c r="I290" s="33">
        <f>SUMIFS(GameStats!G:G,GameStats!C:C,A290,GameStats!B:B,"&gt;="&amp;$Q$1)</f>
        <v>19</v>
      </c>
      <c r="J290" s="33">
        <f t="shared" si="26"/>
        <v>10</v>
      </c>
      <c r="K290" s="33">
        <f t="shared" si="27"/>
        <v>19</v>
      </c>
      <c r="L290" s="32">
        <f t="shared" si="28"/>
        <v>0</v>
      </c>
      <c r="M290" s="29">
        <f>('Elo model'!$E$14*PlayerStats!D170) + ('Elo model'!$F$14*(1/PlayerStats!E170)) + ('Elo model'!$G$14*(PlayerStats!F170/1.75)) + ('Elo model'!$H$14*(PlayerStats!L170/4))</f>
        <v>9.7102425876010784E-2</v>
      </c>
      <c r="N290" s="21">
        <f>_xlfn.MINIFS(GameStats!B:B,GameStats!C:C,A290)</f>
        <v>45401</v>
      </c>
      <c r="O290" s="21">
        <f>_xlfn.MAXIFS(GameStats!B:B,GameStats!C:C,A290)</f>
        <v>45401</v>
      </c>
      <c r="P290" t="b">
        <f t="shared" si="29"/>
        <v>1</v>
      </c>
      <c r="Q290" s="20"/>
    </row>
    <row r="291" spans="1:17" customFormat="1" ht="14.4" x14ac:dyDescent="0.3">
      <c r="A291" s="20" t="str">
        <f>'All Players'!A216</f>
        <v>Luna</v>
      </c>
      <c r="B291" s="20">
        <f>COUNTIFS(GameStats!C:C,A291,GameStats!D:D,"1",GameStats!B:B,"&gt;="&amp;$Q$1)</f>
        <v>0</v>
      </c>
      <c r="C291" s="20">
        <f>COUNTIFS(GameStats!C:C,A291,GameStats!B:B,"&gt;="&amp;$Q$1)</f>
        <v>1</v>
      </c>
      <c r="D291" s="22">
        <f t="shared" si="24"/>
        <v>0</v>
      </c>
      <c r="E291" s="31">
        <f>SUMIFS(GameStats!D:D,GameStats!C:C,A291,GameStats!B:B,"&gt;="&amp;$Q$1)/C291</f>
        <v>23</v>
      </c>
      <c r="F291" s="32">
        <f t="shared" si="25"/>
        <v>0.2857142857142857</v>
      </c>
      <c r="G291" s="20">
        <f>COUNTIFS(GameStats!I:I,A291,GameStats!B:B,"&gt;="&amp;$Q$1)</f>
        <v>0</v>
      </c>
      <c r="H291" s="33">
        <f>SUMIFS(GameStats!F:F,GameStats!C:C,A291,GameStats!B:B,"&gt;="&amp;$Q$1)</f>
        <v>4</v>
      </c>
      <c r="I291" s="33">
        <f>SUMIFS(GameStats!G:G,GameStats!C:C,A291,GameStats!B:B,"&gt;="&amp;$Q$1)</f>
        <v>14</v>
      </c>
      <c r="J291" s="33">
        <f t="shared" si="26"/>
        <v>4</v>
      </c>
      <c r="K291" s="33">
        <f t="shared" si="27"/>
        <v>14</v>
      </c>
      <c r="L291" s="32">
        <f t="shared" si="28"/>
        <v>0</v>
      </c>
      <c r="M291" s="29">
        <f>('Elo model'!$E$14*PlayerStats!D216) + ('Elo model'!$F$14*(1/PlayerStats!E216)) + ('Elo model'!$G$14*(PlayerStats!F216/1.75)) + ('Elo model'!$H$14*(PlayerStats!L216/4))</f>
        <v>6.9702842377260987E-2</v>
      </c>
      <c r="N291" s="21">
        <f>_xlfn.MINIFS(GameStats!B:B,GameStats!C:C,A291)</f>
        <v>45450</v>
      </c>
      <c r="O291" s="21">
        <f>_xlfn.MAXIFS(GameStats!B:B,GameStats!C:C,A291)</f>
        <v>45450</v>
      </c>
      <c r="P291" t="b">
        <f t="shared" si="29"/>
        <v>1</v>
      </c>
    </row>
    <row r="292" spans="1:17" customFormat="1" ht="14.4" x14ac:dyDescent="0.3">
      <c r="A292" s="20" t="str">
        <f>'All Players'!A238</f>
        <v>Fingolfin</v>
      </c>
      <c r="B292" s="20">
        <f>COUNTIFS(GameStats!C:C,A292,GameStats!D:D,"1",GameStats!B:B,"&gt;="&amp;$Q$1)</f>
        <v>0</v>
      </c>
      <c r="C292" s="20">
        <f>COUNTIFS(GameStats!C:C,A292,GameStats!B:B,"&gt;="&amp;$Q$1)</f>
        <v>1</v>
      </c>
      <c r="D292" s="22">
        <f t="shared" si="24"/>
        <v>0</v>
      </c>
      <c r="E292" s="31">
        <f>SUMIFS(GameStats!D:D,GameStats!C:C,A292,GameStats!B:B,"&gt;="&amp;$Q$1)/C292</f>
        <v>23</v>
      </c>
      <c r="F292" s="32">
        <f t="shared" si="25"/>
        <v>0.36842105263157893</v>
      </c>
      <c r="G292" s="20">
        <f>COUNTIFS(GameStats!I:I,A292,GameStats!B:B,"&gt;="&amp;$Q$1)</f>
        <v>0</v>
      </c>
      <c r="H292" s="33">
        <f>SUMIFS(GameStats!F:F,GameStats!C:C,A292,GameStats!B:B,"&gt;="&amp;$Q$1)</f>
        <v>7</v>
      </c>
      <c r="I292" s="33">
        <f>SUMIFS(GameStats!G:G,GameStats!C:C,A292,GameStats!B:B,"&gt;="&amp;$Q$1)</f>
        <v>19</v>
      </c>
      <c r="J292" s="33">
        <f t="shared" si="26"/>
        <v>7</v>
      </c>
      <c r="K292" s="33">
        <f t="shared" si="27"/>
        <v>19</v>
      </c>
      <c r="L292" s="32">
        <f t="shared" si="28"/>
        <v>0</v>
      </c>
      <c r="M292" s="29">
        <f>('Elo model'!$E$14*PlayerStats!D238) + ('Elo model'!$F$14*(1/PlayerStats!E238)) + ('Elo model'!$G$14*(PlayerStats!F238/1.75)) + ('Elo model'!$H$14*(PlayerStats!L238/4))</f>
        <v>4.0644989339019194E-2</v>
      </c>
      <c r="N292" s="21">
        <f>_xlfn.MINIFS(GameStats!B:B,GameStats!C:C,A292)</f>
        <v>45478</v>
      </c>
      <c r="O292" s="21">
        <f>_xlfn.MAXIFS(GameStats!B:B,GameStats!C:C,A292)</f>
        <v>45478</v>
      </c>
      <c r="P292" t="b">
        <f t="shared" si="29"/>
        <v>1</v>
      </c>
    </row>
    <row r="293" spans="1:17" customFormat="1" ht="14.4" x14ac:dyDescent="0.3">
      <c r="A293" s="20" t="str">
        <f>'All Players'!A271</f>
        <v>Stax</v>
      </c>
      <c r="B293" s="20">
        <f>COUNTIFS(GameStats!C:C,A293,GameStats!D:D,"1",GameStats!B:B,"&gt;="&amp;$Q$1)</f>
        <v>0</v>
      </c>
      <c r="C293" s="20">
        <f>COUNTIFS(GameStats!C:C,A293,GameStats!B:B,"&gt;="&amp;$Q$1)</f>
        <v>1</v>
      </c>
      <c r="D293" s="22">
        <f t="shared" si="24"/>
        <v>0</v>
      </c>
      <c r="E293" s="31">
        <f>SUMIFS(GameStats!D:D,GameStats!C:C,A293,GameStats!B:B,"&gt;="&amp;$Q$1)/C293</f>
        <v>23</v>
      </c>
      <c r="F293" s="32">
        <f t="shared" si="25"/>
        <v>0.90816326530612246</v>
      </c>
      <c r="G293" s="20">
        <f>COUNTIFS(GameStats!I:I,A293,GameStats!B:B,"&gt;="&amp;$Q$1)</f>
        <v>0</v>
      </c>
      <c r="H293" s="33">
        <f>SUMIFS(GameStats!F:F,GameStats!C:C,A293,GameStats!B:B,"&gt;="&amp;$Q$1)</f>
        <v>89</v>
      </c>
      <c r="I293" s="33">
        <f>SUMIFS(GameStats!G:G,GameStats!C:C,A293,GameStats!B:B,"&gt;="&amp;$Q$1)</f>
        <v>98</v>
      </c>
      <c r="J293" s="33">
        <f t="shared" si="26"/>
        <v>89</v>
      </c>
      <c r="K293" s="33">
        <f t="shared" si="27"/>
        <v>98</v>
      </c>
      <c r="L293" s="32">
        <f t="shared" si="28"/>
        <v>0</v>
      </c>
      <c r="M293" s="29">
        <f>('Elo model'!$E$14*PlayerStats!D271) + ('Elo model'!$F$14*(1/PlayerStats!E271)) + ('Elo model'!$G$14*(PlayerStats!F271/1.75)) + ('Elo model'!$H$14*(PlayerStats!L271/4))</f>
        <v>3.5173160173160176E-2</v>
      </c>
      <c r="N293" s="21">
        <f>_xlfn.MINIFS(GameStats!B:B,GameStats!C:C,A293)</f>
        <v>45534</v>
      </c>
      <c r="O293" s="21">
        <f>_xlfn.MAXIFS(GameStats!B:B,GameStats!C:C,A293)</f>
        <v>45534</v>
      </c>
      <c r="P293" t="b">
        <f t="shared" si="29"/>
        <v>1</v>
      </c>
    </row>
    <row r="294" spans="1:17" customFormat="1" ht="14.4" x14ac:dyDescent="0.3">
      <c r="A294" s="20"/>
      <c r="B294" s="20"/>
      <c r="C294" s="20"/>
      <c r="D294" s="22"/>
      <c r="E294" s="31"/>
      <c r="F294" s="32"/>
      <c r="G294" s="20"/>
      <c r="H294" s="33"/>
      <c r="I294" s="33"/>
      <c r="J294" s="33"/>
      <c r="K294" s="33"/>
      <c r="L294" s="32"/>
      <c r="M294" s="29"/>
      <c r="N294" s="21"/>
      <c r="O294" s="21"/>
      <c r="P294" t="b">
        <f t="shared" si="29"/>
        <v>0</v>
      </c>
    </row>
    <row r="295" spans="1:17" customFormat="1" ht="14.4" x14ac:dyDescent="0.3">
      <c r="A295" s="20"/>
      <c r="B295" s="20"/>
      <c r="C295" s="20"/>
      <c r="D295" s="22"/>
      <c r="E295" s="31"/>
      <c r="F295" s="32"/>
      <c r="G295" s="20"/>
      <c r="H295" s="33"/>
      <c r="I295" s="33"/>
      <c r="J295" s="33"/>
      <c r="K295" s="33"/>
      <c r="L295" s="32"/>
      <c r="M295" s="29"/>
      <c r="N295" s="21"/>
      <c r="O295" s="21"/>
      <c r="P295" t="b">
        <f t="shared" si="29"/>
        <v>0</v>
      </c>
    </row>
    <row r="296" spans="1:17" ht="15" customHeight="1" x14ac:dyDescent="0.3">
      <c r="D296" s="22"/>
      <c r="E296" s="31"/>
      <c r="F296" s="32"/>
      <c r="H296" s="33"/>
      <c r="I296" s="33"/>
      <c r="J296" s="33"/>
      <c r="K296" s="33"/>
      <c r="L296" s="32"/>
      <c r="M296" s="29"/>
      <c r="N296" s="21"/>
      <c r="O296" s="21"/>
      <c r="P296" t="b">
        <f t="shared" si="29"/>
        <v>0</v>
      </c>
    </row>
    <row r="297" spans="1:17" ht="15" customHeight="1" x14ac:dyDescent="0.3">
      <c r="D297" s="22"/>
      <c r="E297" s="31"/>
      <c r="F297" s="32"/>
      <c r="H297" s="33"/>
      <c r="I297" s="33"/>
      <c r="J297" s="33"/>
      <c r="K297" s="33"/>
      <c r="L297" s="32"/>
      <c r="M297" s="29"/>
      <c r="N297" s="21"/>
      <c r="O297" s="21"/>
      <c r="P297" t="b">
        <f t="shared" si="29"/>
        <v>0</v>
      </c>
    </row>
    <row r="298" spans="1:17" ht="15" customHeight="1" x14ac:dyDescent="0.3">
      <c r="D298" s="22"/>
      <c r="E298" s="31"/>
      <c r="F298" s="32"/>
      <c r="H298" s="33"/>
      <c r="I298" s="33"/>
      <c r="J298" s="33"/>
      <c r="K298" s="33"/>
      <c r="L298" s="32"/>
      <c r="M298" s="29"/>
      <c r="N298" s="21"/>
      <c r="O298" s="21"/>
      <c r="P298" t="b">
        <f t="shared" si="29"/>
        <v>0</v>
      </c>
    </row>
    <row r="299" spans="1:17" ht="15" customHeight="1" x14ac:dyDescent="0.3">
      <c r="D299" s="22"/>
      <c r="E299" s="31"/>
      <c r="F299" s="32"/>
      <c r="H299" s="33"/>
      <c r="I299" s="33"/>
      <c r="J299" s="33"/>
      <c r="K299" s="33"/>
      <c r="L299" s="32"/>
      <c r="M299" s="29"/>
      <c r="N299" s="21"/>
      <c r="O299" s="21"/>
      <c r="P299" t="b">
        <f t="shared" si="29"/>
        <v>0</v>
      </c>
    </row>
    <row r="300" spans="1:17" ht="15" customHeight="1" x14ac:dyDescent="0.3">
      <c r="D300" s="22"/>
      <c r="E300" s="31"/>
      <c r="F300" s="32"/>
      <c r="H300" s="33"/>
      <c r="I300" s="33"/>
      <c r="J300" s="33"/>
      <c r="K300" s="33"/>
      <c r="L300" s="32"/>
      <c r="M300" s="29"/>
      <c r="N300" s="21"/>
      <c r="O300" s="21"/>
      <c r="P300" t="b">
        <f t="shared" si="29"/>
        <v>0</v>
      </c>
    </row>
    <row r="301" spans="1:17" ht="15" customHeight="1" x14ac:dyDescent="0.3">
      <c r="D301" s="22"/>
      <c r="E301" s="31"/>
      <c r="F301" s="32"/>
      <c r="H301" s="33"/>
      <c r="I301" s="33"/>
      <c r="J301" s="33"/>
      <c r="K301" s="33"/>
      <c r="L301" s="32"/>
      <c r="M301" s="29"/>
      <c r="N301" s="21"/>
      <c r="O301" s="21"/>
      <c r="P301" t="b">
        <f t="shared" si="29"/>
        <v>0</v>
      </c>
    </row>
    <row r="302" spans="1:17" ht="15" customHeight="1" x14ac:dyDescent="0.3">
      <c r="D302" s="22"/>
      <c r="E302" s="31"/>
      <c r="F302" s="32"/>
      <c r="H302" s="33"/>
      <c r="I302" s="33"/>
      <c r="J302" s="33"/>
      <c r="K302" s="33"/>
      <c r="L302" s="32"/>
      <c r="M302" s="29"/>
      <c r="N302" s="21"/>
      <c r="O302" s="21"/>
      <c r="P302" t="b">
        <f t="shared" si="29"/>
        <v>0</v>
      </c>
    </row>
    <row r="303" spans="1:17" ht="15" customHeight="1" x14ac:dyDescent="0.3">
      <c r="D303" s="22"/>
      <c r="E303" s="31"/>
      <c r="F303" s="32"/>
      <c r="H303" s="33"/>
      <c r="I303" s="33"/>
      <c r="J303" s="33"/>
      <c r="K303" s="33"/>
      <c r="L303" s="32"/>
      <c r="M303" s="29"/>
      <c r="N303" s="21"/>
      <c r="O303" s="21"/>
      <c r="P303" t="b">
        <f t="shared" si="29"/>
        <v>0</v>
      </c>
    </row>
    <row r="304" spans="1:17" ht="15" customHeight="1" x14ac:dyDescent="0.3">
      <c r="D304" s="22"/>
      <c r="E304" s="31"/>
      <c r="F304" s="32"/>
      <c r="H304" s="33"/>
      <c r="I304" s="33"/>
      <c r="J304" s="33"/>
      <c r="K304" s="33"/>
      <c r="L304" s="32"/>
      <c r="M304" s="29"/>
      <c r="N304" s="21"/>
      <c r="O304" s="21"/>
      <c r="P304" t="b">
        <f t="shared" si="29"/>
        <v>0</v>
      </c>
    </row>
    <row r="305" spans="4:16" ht="15" customHeight="1" x14ac:dyDescent="0.3">
      <c r="D305" s="22"/>
      <c r="E305" s="31"/>
      <c r="F305" s="32"/>
      <c r="H305" s="33"/>
      <c r="I305" s="33"/>
      <c r="J305" s="33"/>
      <c r="K305" s="33"/>
      <c r="L305" s="32"/>
      <c r="M305" s="29"/>
      <c r="N305" s="21"/>
      <c r="O305" s="21"/>
      <c r="P305" t="b">
        <f t="shared" si="29"/>
        <v>0</v>
      </c>
    </row>
    <row r="306" spans="4:16" ht="15" customHeight="1" x14ac:dyDescent="0.3">
      <c r="D306" s="22"/>
      <c r="E306" s="31"/>
      <c r="F306" s="32"/>
      <c r="H306" s="33"/>
      <c r="I306" s="33"/>
      <c r="J306" s="33"/>
      <c r="K306" s="33"/>
      <c r="L306" s="32"/>
      <c r="M306" s="29"/>
      <c r="N306" s="21"/>
      <c r="O306" s="21"/>
      <c r="P306" t="b">
        <f t="shared" si="29"/>
        <v>0</v>
      </c>
    </row>
    <row r="307" spans="4:16" ht="15" customHeight="1" x14ac:dyDescent="0.3">
      <c r="D307" s="22"/>
      <c r="E307" s="31"/>
      <c r="F307" s="32"/>
      <c r="H307" s="33"/>
      <c r="I307" s="33"/>
      <c r="J307" s="33"/>
      <c r="K307" s="33"/>
      <c r="L307" s="32"/>
      <c r="P307" t="b">
        <f t="shared" si="29"/>
        <v>0</v>
      </c>
    </row>
    <row r="308" spans="4:16" ht="15" customHeight="1" x14ac:dyDescent="0.3">
      <c r="D308" s="22"/>
      <c r="E308" s="31"/>
      <c r="F308" s="32"/>
      <c r="H308" s="33"/>
      <c r="I308" s="33"/>
      <c r="J308" s="33"/>
      <c r="K308" s="33"/>
      <c r="L308" s="32"/>
      <c r="P308" t="b">
        <f t="shared" si="29"/>
        <v>0</v>
      </c>
    </row>
    <row r="309" spans="4:16" ht="15" customHeight="1" x14ac:dyDescent="0.3">
      <c r="D309" s="22"/>
      <c r="E309" s="31"/>
      <c r="F309" s="32"/>
      <c r="H309" s="33"/>
      <c r="I309" s="33"/>
      <c r="J309" s="33"/>
      <c r="K309" s="33"/>
      <c r="L309" s="32"/>
      <c r="P309" t="b">
        <f t="shared" si="29"/>
        <v>0</v>
      </c>
    </row>
    <row r="310" spans="4:16" ht="15" customHeight="1" x14ac:dyDescent="0.3">
      <c r="D310" s="22"/>
      <c r="E310" s="31"/>
      <c r="F310" s="32"/>
      <c r="H310" s="33"/>
      <c r="I310" s="33"/>
      <c r="J310" s="33"/>
      <c r="K310" s="33"/>
      <c r="L310" s="32"/>
      <c r="P310" t="b">
        <f t="shared" si="29"/>
        <v>0</v>
      </c>
    </row>
    <row r="311" spans="4:16" ht="15" customHeight="1" x14ac:dyDescent="0.3">
      <c r="D311" s="22"/>
      <c r="E311" s="31"/>
      <c r="F311" s="32"/>
      <c r="H311" s="33"/>
      <c r="I311" s="33"/>
      <c r="J311" s="33"/>
      <c r="K311" s="33"/>
      <c r="L311" s="32"/>
      <c r="P311" t="b">
        <f t="shared" si="29"/>
        <v>0</v>
      </c>
    </row>
    <row r="312" spans="4:16" ht="15" customHeight="1" x14ac:dyDescent="0.3">
      <c r="D312" s="22"/>
      <c r="E312" s="31"/>
      <c r="F312" s="32"/>
      <c r="H312" s="33"/>
      <c r="I312" s="33"/>
      <c r="J312" s="33"/>
      <c r="K312" s="33"/>
      <c r="L312" s="32"/>
      <c r="P312" t="b">
        <f t="shared" si="29"/>
        <v>0</v>
      </c>
    </row>
    <row r="313" spans="4:16" ht="15" customHeight="1" x14ac:dyDescent="0.3">
      <c r="D313" s="22"/>
      <c r="E313" s="31"/>
      <c r="F313" s="32"/>
      <c r="H313" s="33"/>
      <c r="I313" s="33"/>
      <c r="J313" s="33"/>
      <c r="K313" s="33"/>
      <c r="L313" s="32"/>
      <c r="P313" t="b">
        <f t="shared" si="29"/>
        <v>0</v>
      </c>
    </row>
    <row r="314" spans="4:16" ht="15" customHeight="1" x14ac:dyDescent="0.3">
      <c r="D314" s="22"/>
      <c r="E314" s="31"/>
      <c r="F314" s="32"/>
      <c r="H314" s="33"/>
      <c r="I314" s="33"/>
      <c r="J314" s="33"/>
      <c r="K314" s="33"/>
      <c r="L314" s="32"/>
      <c r="P314" t="b">
        <f t="shared" si="29"/>
        <v>0</v>
      </c>
    </row>
    <row r="315" spans="4:16" ht="15" customHeight="1" x14ac:dyDescent="0.3">
      <c r="D315" s="22"/>
      <c r="E315" s="31"/>
      <c r="F315" s="32"/>
      <c r="H315" s="33"/>
      <c r="I315" s="33"/>
      <c r="J315" s="33"/>
      <c r="K315" s="33"/>
      <c r="L315" s="32"/>
      <c r="P315" t="b">
        <f t="shared" si="29"/>
        <v>0</v>
      </c>
    </row>
    <row r="316" spans="4:16" ht="15" customHeight="1" x14ac:dyDescent="0.3">
      <c r="D316" s="22"/>
      <c r="E316" s="31"/>
      <c r="F316" s="32"/>
      <c r="H316" s="33"/>
      <c r="I316" s="33"/>
      <c r="J316" s="33"/>
      <c r="K316" s="33"/>
      <c r="L316" s="32"/>
      <c r="P316" t="b">
        <f t="shared" si="29"/>
        <v>0</v>
      </c>
    </row>
    <row r="317" spans="4:16" ht="15" customHeight="1" x14ac:dyDescent="0.3">
      <c r="D317" s="22"/>
      <c r="E317" s="31"/>
      <c r="F317" s="32"/>
      <c r="H317" s="33"/>
      <c r="I317" s="33"/>
      <c r="J317" s="33"/>
      <c r="K317" s="33"/>
      <c r="L317" s="32"/>
      <c r="P317" t="b">
        <f t="shared" si="29"/>
        <v>0</v>
      </c>
    </row>
    <row r="318" spans="4:16" ht="15" customHeight="1" x14ac:dyDescent="0.3">
      <c r="D318" s="22"/>
      <c r="E318" s="31"/>
      <c r="F318" s="32"/>
      <c r="H318" s="33"/>
      <c r="I318" s="33"/>
      <c r="J318" s="33"/>
      <c r="K318" s="33"/>
      <c r="L318" s="32"/>
      <c r="P318" t="b">
        <f t="shared" si="29"/>
        <v>0</v>
      </c>
    </row>
    <row r="319" spans="4:16" ht="15" customHeight="1" x14ac:dyDescent="0.3">
      <c r="D319" s="22"/>
      <c r="E319" s="31"/>
      <c r="F319" s="32"/>
      <c r="H319" s="33"/>
      <c r="I319" s="33"/>
      <c r="J319" s="33"/>
      <c r="K319" s="33"/>
      <c r="L319" s="32"/>
      <c r="P319" t="b">
        <f t="shared" si="29"/>
        <v>0</v>
      </c>
    </row>
    <row r="320" spans="4:16" ht="15" customHeight="1" x14ac:dyDescent="0.3">
      <c r="D320" s="22"/>
      <c r="E320" s="31"/>
      <c r="F320" s="32"/>
      <c r="H320" s="33"/>
      <c r="I320" s="33"/>
      <c r="J320" s="33"/>
      <c r="K320" s="33"/>
      <c r="L320" s="32"/>
      <c r="P320" t="b">
        <f t="shared" si="29"/>
        <v>0</v>
      </c>
    </row>
    <row r="321" spans="4:16" ht="15" customHeight="1" x14ac:dyDescent="0.3">
      <c r="D321" s="22"/>
      <c r="E321" s="31"/>
      <c r="F321" s="32"/>
      <c r="H321" s="33"/>
      <c r="I321" s="33"/>
      <c r="J321" s="33"/>
      <c r="K321" s="33"/>
      <c r="L321" s="32"/>
      <c r="P321" t="b">
        <f t="shared" si="29"/>
        <v>0</v>
      </c>
    </row>
    <row r="322" spans="4:16" ht="15" customHeight="1" x14ac:dyDescent="0.3">
      <c r="D322" s="22"/>
      <c r="E322" s="31"/>
      <c r="F322" s="32"/>
      <c r="H322" s="33"/>
      <c r="I322" s="33"/>
      <c r="J322" s="33"/>
      <c r="K322" s="33"/>
      <c r="L322" s="32"/>
      <c r="P322" t="b">
        <f t="shared" ref="P322:P385" si="30">IF(O322&gt;$Q$1,TRUE)</f>
        <v>0</v>
      </c>
    </row>
    <row r="323" spans="4:16" ht="15" customHeight="1" x14ac:dyDescent="0.3">
      <c r="D323" s="22"/>
      <c r="E323" s="31"/>
      <c r="F323" s="32"/>
      <c r="H323" s="33"/>
      <c r="I323" s="33"/>
      <c r="J323" s="33"/>
      <c r="K323" s="33"/>
      <c r="L323" s="32"/>
      <c r="P323" t="b">
        <f t="shared" si="30"/>
        <v>0</v>
      </c>
    </row>
    <row r="324" spans="4:16" ht="15" customHeight="1" x14ac:dyDescent="0.3">
      <c r="D324" s="22"/>
      <c r="E324" s="31"/>
      <c r="F324" s="32"/>
      <c r="H324" s="33"/>
      <c r="I324" s="33"/>
      <c r="J324" s="33"/>
      <c r="K324" s="33"/>
      <c r="L324" s="32"/>
      <c r="P324" t="b">
        <f t="shared" si="30"/>
        <v>0</v>
      </c>
    </row>
    <row r="325" spans="4:16" ht="15" customHeight="1" x14ac:dyDescent="0.3">
      <c r="D325" s="22"/>
      <c r="E325" s="31"/>
      <c r="F325" s="32"/>
      <c r="H325" s="33"/>
      <c r="I325" s="33"/>
      <c r="J325" s="33"/>
      <c r="K325" s="33"/>
      <c r="L325" s="32"/>
      <c r="P325" t="b">
        <f t="shared" si="30"/>
        <v>0</v>
      </c>
    </row>
    <row r="326" spans="4:16" ht="15" customHeight="1" x14ac:dyDescent="0.3">
      <c r="D326" s="22"/>
      <c r="E326" s="31"/>
      <c r="F326" s="32"/>
      <c r="H326" s="33"/>
      <c r="I326" s="33"/>
      <c r="J326" s="33"/>
      <c r="K326" s="33"/>
      <c r="L326" s="32"/>
      <c r="P326" t="b">
        <f t="shared" si="30"/>
        <v>0</v>
      </c>
    </row>
  </sheetData>
  <sortState xmlns:xlrd2="http://schemas.microsoft.com/office/spreadsheetml/2017/richdata2" ref="A2:Q326">
    <sortCondition descending="1" ref="C2:C326"/>
    <sortCondition ref="E2:E326"/>
    <sortCondition descending="1" ref="B2:B3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17C9-9EEA-456B-82B0-062CE8999434}">
  <dimension ref="B8:Z65"/>
  <sheetViews>
    <sheetView tabSelected="1" workbookViewId="0">
      <selection activeCell="E2" sqref="E2"/>
    </sheetView>
  </sheetViews>
  <sheetFormatPr defaultColWidth="9.109375" defaultRowHeight="15" customHeight="1" x14ac:dyDescent="0.3"/>
  <cols>
    <col min="1" max="4" width="9.109375" style="17"/>
    <col min="5" max="5" width="17.44140625" style="17" customWidth="1"/>
    <col min="6" max="6" width="13.33203125" style="17" customWidth="1"/>
    <col min="7" max="16384" width="9.109375" style="17"/>
  </cols>
  <sheetData>
    <row r="8" spans="4:9" ht="21" x14ac:dyDescent="0.4">
      <c r="E8" s="25" t="s">
        <v>514</v>
      </c>
    </row>
    <row r="10" spans="4:9" ht="14.4" x14ac:dyDescent="0.3">
      <c r="E10" s="24" t="s">
        <v>515</v>
      </c>
    </row>
    <row r="11" spans="4:9" ht="14.4" x14ac:dyDescent="0.3">
      <c r="E11" s="24"/>
    </row>
    <row r="12" spans="4:9" ht="21" x14ac:dyDescent="0.4">
      <c r="E12" s="25" t="s">
        <v>516</v>
      </c>
    </row>
    <row r="13" spans="4:9" ht="14.4" x14ac:dyDescent="0.3">
      <c r="E13" s="19" t="s">
        <v>517</v>
      </c>
      <c r="F13" s="19" t="s">
        <v>503</v>
      </c>
      <c r="G13" s="19" t="s">
        <v>102</v>
      </c>
      <c r="H13" s="19" t="s">
        <v>518</v>
      </c>
    </row>
    <row r="14" spans="4:9" ht="14.4" x14ac:dyDescent="0.3">
      <c r="D14" s="17" t="s">
        <v>519</v>
      </c>
      <c r="E14" s="26">
        <v>0.5</v>
      </c>
      <c r="F14" s="26">
        <v>0.25</v>
      </c>
      <c r="G14" s="26">
        <v>0.15</v>
      </c>
      <c r="H14" s="26">
        <v>0.1</v>
      </c>
      <c r="I14" s="17">
        <f>SUM(E14:H14)</f>
        <v>1</v>
      </c>
    </row>
    <row r="15" spans="4:9" ht="14.4" x14ac:dyDescent="0.3"/>
    <row r="16" spans="4:9" ht="15" customHeight="1" x14ac:dyDescent="0.3">
      <c r="D16" s="17" t="s">
        <v>520</v>
      </c>
      <c r="E16" s="27"/>
      <c r="F16" s="27"/>
      <c r="G16" s="27"/>
      <c r="H16" s="27"/>
      <c r="I16" s="17">
        <f>H16+G16+F16+E16</f>
        <v>0</v>
      </c>
    </row>
    <row r="17" spans="2:26" ht="14.4" x14ac:dyDescent="0.3"/>
    <row r="18" spans="2:26" ht="14.4" x14ac:dyDescent="0.3"/>
    <row r="20" spans="2:26" ht="15" customHeight="1" x14ac:dyDescent="0.3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 ht="15" customHeigh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 ht="15" customHeigh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26" ht="15" customHeight="1" x14ac:dyDescent="0.3">
      <c r="B23"/>
      <c r="C23"/>
      <c r="D23"/>
      <c r="E23"/>
      <c r="F23"/>
      <c r="G23"/>
      <c r="H23"/>
      <c r="I23"/>
      <c r="J23"/>
      <c r="K23"/>
      <c r="L23"/>
      <c r="M23" t="s">
        <v>521</v>
      </c>
      <c r="N23" t="s">
        <v>522</v>
      </c>
      <c r="O23" t="s">
        <v>523</v>
      </c>
      <c r="P23" t="s">
        <v>102</v>
      </c>
      <c r="Q23"/>
      <c r="R23"/>
      <c r="S23"/>
      <c r="T23"/>
      <c r="U23"/>
      <c r="V23"/>
      <c r="W23"/>
      <c r="X23"/>
      <c r="Y23"/>
      <c r="Z23"/>
    </row>
    <row r="24" spans="2:26" ht="15" customHeight="1" x14ac:dyDescent="0.3">
      <c r="B24"/>
      <c r="C24" t="s">
        <v>102</v>
      </c>
      <c r="D24"/>
      <c r="E24" t="s">
        <v>524</v>
      </c>
      <c r="F24" t="s">
        <v>525</v>
      </c>
      <c r="G24" t="s">
        <v>526</v>
      </c>
      <c r="H24" t="s">
        <v>527</v>
      </c>
      <c r="I24" t="s">
        <v>522</v>
      </c>
      <c r="J24"/>
      <c r="K24" t="s">
        <v>528</v>
      </c>
      <c r="L24"/>
      <c r="M24" t="s">
        <v>529</v>
      </c>
      <c r="N24" t="s">
        <v>530</v>
      </c>
      <c r="O24"/>
      <c r="P24" t="s">
        <v>510</v>
      </c>
      <c r="Q24"/>
      <c r="R24"/>
      <c r="S24"/>
      <c r="T24"/>
      <c r="U24"/>
      <c r="V24"/>
      <c r="W24"/>
      <c r="X24"/>
      <c r="Y24"/>
      <c r="Z24"/>
    </row>
    <row r="25" spans="2:26" ht="15" customHeight="1" x14ac:dyDescent="0.3">
      <c r="B25"/>
      <c r="C25">
        <v>2</v>
      </c>
      <c r="D25">
        <f>C25/1.75</f>
        <v>1.1428571428571428</v>
      </c>
      <c r="E25">
        <v>5</v>
      </c>
      <c r="F25">
        <f>E25/4</f>
        <v>1.25</v>
      </c>
      <c r="G25">
        <v>1</v>
      </c>
      <c r="H25">
        <f>G25-0.15</f>
        <v>0.85</v>
      </c>
      <c r="I25">
        <v>1</v>
      </c>
      <c r="J25"/>
      <c r="K25">
        <f>1/I25</f>
        <v>1</v>
      </c>
      <c r="L25"/>
      <c r="M25">
        <f>H25*'Elo model'!$E$14</f>
        <v>0.42499999999999999</v>
      </c>
      <c r="N25" s="30">
        <f>'Elo model'!$F$14*K25</f>
        <v>0.25</v>
      </c>
      <c r="O25">
        <f>F25*0.1</f>
        <v>0.125</v>
      </c>
      <c r="P25">
        <f>D25*'Elo model'!$G$14</f>
        <v>0.1714285714285714</v>
      </c>
      <c r="Q25">
        <f>SUM(M25:P25)</f>
        <v>0.97142857142857142</v>
      </c>
      <c r="R25"/>
      <c r="S25"/>
      <c r="T25"/>
      <c r="U25"/>
      <c r="V25">
        <v>200</v>
      </c>
      <c r="W25"/>
      <c r="X25"/>
      <c r="Y25"/>
      <c r="Z25"/>
    </row>
    <row r="26" spans="2:26" ht="15" customHeight="1" x14ac:dyDescent="0.3">
      <c r="B26"/>
      <c r="C26">
        <v>1.95</v>
      </c>
      <c r="D26">
        <f t="shared" ref="D26:D47" si="0">C26/1.75</f>
        <v>1.1142857142857143</v>
      </c>
      <c r="E26">
        <v>4.9000000000000004</v>
      </c>
      <c r="F26">
        <f t="shared" ref="F26:F47" si="1">E26/4</f>
        <v>1.2250000000000001</v>
      </c>
      <c r="G26">
        <v>0.98</v>
      </c>
      <c r="H26">
        <f t="shared" ref="H26:H43" si="2">G26-0.15</f>
        <v>0.83</v>
      </c>
      <c r="I26">
        <v>2</v>
      </c>
      <c r="J26"/>
      <c r="K26" s="29">
        <f t="shared" ref="K26:K47" si="3">1/I26</f>
        <v>0.5</v>
      </c>
      <c r="L26"/>
      <c r="M26">
        <f>H26*'Elo model'!$E$14</f>
        <v>0.41499999999999998</v>
      </c>
      <c r="N26" s="30">
        <f>'Elo model'!$F$14*K26</f>
        <v>0.125</v>
      </c>
      <c r="O26">
        <f t="shared" ref="O26:O47" si="4">F26*0.1</f>
        <v>0.12250000000000001</v>
      </c>
      <c r="P26">
        <f>D26*'Elo model'!$G$14</f>
        <v>0.16714285714285715</v>
      </c>
      <c r="Q26">
        <f t="shared" ref="Q26:Q47" si="5">SUM(M26:P26)</f>
        <v>0.82964285714285724</v>
      </c>
      <c r="R26"/>
      <c r="S26"/>
      <c r="T26"/>
      <c r="U26"/>
      <c r="V26">
        <v>95</v>
      </c>
      <c r="W26"/>
      <c r="X26"/>
      <c r="Y26"/>
      <c r="Z26"/>
    </row>
    <row r="27" spans="2:26" ht="15" customHeight="1" x14ac:dyDescent="0.3">
      <c r="B27"/>
      <c r="C27">
        <v>1.9</v>
      </c>
      <c r="D27">
        <f t="shared" si="0"/>
        <v>1.0857142857142856</v>
      </c>
      <c r="E27">
        <v>4.8</v>
      </c>
      <c r="F27">
        <f t="shared" si="1"/>
        <v>1.2</v>
      </c>
      <c r="G27">
        <v>0.97</v>
      </c>
      <c r="H27">
        <f t="shared" si="2"/>
        <v>0.82</v>
      </c>
      <c r="I27">
        <v>3</v>
      </c>
      <c r="J27"/>
      <c r="K27" s="29">
        <f t="shared" si="3"/>
        <v>0.33333333333333331</v>
      </c>
      <c r="L27"/>
      <c r="M27">
        <f>H27*'Elo model'!$E$14</f>
        <v>0.41</v>
      </c>
      <c r="N27" s="30">
        <f>'Elo model'!$F$14*K27</f>
        <v>8.3333333333333329E-2</v>
      </c>
      <c r="O27">
        <f t="shared" si="4"/>
        <v>0.12</v>
      </c>
      <c r="P27">
        <f>D27*'Elo model'!$G$14</f>
        <v>0.16285714285714284</v>
      </c>
      <c r="Q27">
        <f t="shared" si="5"/>
        <v>0.7761904761904761</v>
      </c>
      <c r="R27"/>
      <c r="S27"/>
      <c r="T27"/>
      <c r="U27"/>
      <c r="V27"/>
      <c r="W27"/>
      <c r="X27"/>
      <c r="Y27"/>
      <c r="Z27"/>
    </row>
    <row r="28" spans="2:26" ht="15" customHeight="1" x14ac:dyDescent="0.3">
      <c r="B28"/>
      <c r="C28">
        <v>1.8</v>
      </c>
      <c r="D28">
        <f t="shared" si="0"/>
        <v>1.0285714285714287</v>
      </c>
      <c r="E28">
        <v>4.75</v>
      </c>
      <c r="F28">
        <f t="shared" si="1"/>
        <v>1.1875</v>
      </c>
      <c r="G28">
        <v>0.95</v>
      </c>
      <c r="H28">
        <f t="shared" si="2"/>
        <v>0.79999999999999993</v>
      </c>
      <c r="I28">
        <v>4</v>
      </c>
      <c r="J28"/>
      <c r="K28" s="29">
        <f t="shared" si="3"/>
        <v>0.25</v>
      </c>
      <c r="L28"/>
      <c r="M28">
        <f>H28*'Elo model'!$E$14</f>
        <v>0.39999999999999997</v>
      </c>
      <c r="N28" s="30">
        <f>'Elo model'!$F$14*K28</f>
        <v>6.25E-2</v>
      </c>
      <c r="O28">
        <f t="shared" si="4"/>
        <v>0.11875000000000001</v>
      </c>
      <c r="P28">
        <f>D28*'Elo model'!$G$14</f>
        <v>0.1542857142857143</v>
      </c>
      <c r="Q28">
        <f t="shared" si="5"/>
        <v>0.73553571428571418</v>
      </c>
      <c r="R28"/>
      <c r="S28"/>
      <c r="T28"/>
      <c r="U28">
        <f>1/22</f>
        <v>4.5454545454545456E-2</v>
      </c>
      <c r="V28"/>
      <c r="W28"/>
      <c r="X28"/>
      <c r="Y28"/>
      <c r="Z28"/>
    </row>
    <row r="29" spans="2:26" ht="15" customHeight="1" x14ac:dyDescent="0.3">
      <c r="B29"/>
      <c r="C29">
        <v>1.75</v>
      </c>
      <c r="D29">
        <f t="shared" si="0"/>
        <v>1</v>
      </c>
      <c r="E29">
        <v>4.5</v>
      </c>
      <c r="F29">
        <f t="shared" si="1"/>
        <v>1.125</v>
      </c>
      <c r="G29">
        <v>0.9</v>
      </c>
      <c r="H29">
        <f t="shared" si="2"/>
        <v>0.75</v>
      </c>
      <c r="I29">
        <v>5</v>
      </c>
      <c r="J29"/>
      <c r="K29" s="29">
        <f t="shared" si="3"/>
        <v>0.2</v>
      </c>
      <c r="L29"/>
      <c r="M29">
        <f>H29*'Elo model'!$E$14</f>
        <v>0.375</v>
      </c>
      <c r="N29" s="30">
        <f>'Elo model'!$F$14*K29</f>
        <v>0.05</v>
      </c>
      <c r="O29">
        <f t="shared" si="4"/>
        <v>0.1125</v>
      </c>
      <c r="P29">
        <f>D29*'Elo model'!$G$14</f>
        <v>0.15</v>
      </c>
      <c r="Q29">
        <f t="shared" si="5"/>
        <v>0.6875</v>
      </c>
      <c r="R29"/>
      <c r="S29"/>
      <c r="T29"/>
      <c r="U29"/>
      <c r="V29"/>
      <c r="W29"/>
      <c r="X29"/>
      <c r="Y29"/>
      <c r="Z29"/>
    </row>
    <row r="30" spans="2:26" ht="15" customHeight="1" x14ac:dyDescent="0.3">
      <c r="B30"/>
      <c r="C30">
        <v>1.7</v>
      </c>
      <c r="D30">
        <f t="shared" si="0"/>
        <v>0.97142857142857142</v>
      </c>
      <c r="E30">
        <v>4.25</v>
      </c>
      <c r="F30">
        <f t="shared" si="1"/>
        <v>1.0625</v>
      </c>
      <c r="G30">
        <v>0.85</v>
      </c>
      <c r="H30">
        <f t="shared" si="2"/>
        <v>0.7</v>
      </c>
      <c r="I30">
        <v>6</v>
      </c>
      <c r="J30"/>
      <c r="K30" s="29">
        <f t="shared" si="3"/>
        <v>0.16666666666666666</v>
      </c>
      <c r="L30"/>
      <c r="M30">
        <f>H30*'Elo model'!$E$14</f>
        <v>0.35</v>
      </c>
      <c r="N30" s="30">
        <f>'Elo model'!$F$14*K30</f>
        <v>4.1666666666666664E-2</v>
      </c>
      <c r="O30">
        <f t="shared" si="4"/>
        <v>0.10625000000000001</v>
      </c>
      <c r="P30">
        <f>D30*'Elo model'!$G$14</f>
        <v>0.14571428571428571</v>
      </c>
      <c r="Q30">
        <f t="shared" si="5"/>
        <v>0.64363095238095236</v>
      </c>
      <c r="R30"/>
      <c r="S30"/>
      <c r="T30"/>
      <c r="U30"/>
      <c r="V30"/>
      <c r="W30"/>
      <c r="X30"/>
      <c r="Y30"/>
      <c r="Z30"/>
    </row>
    <row r="31" spans="2:26" ht="15" customHeight="1" x14ac:dyDescent="0.3">
      <c r="B31"/>
      <c r="C31">
        <v>1.6</v>
      </c>
      <c r="D31">
        <f t="shared" si="0"/>
        <v>0.91428571428571437</v>
      </c>
      <c r="E31">
        <v>4</v>
      </c>
      <c r="F31">
        <f t="shared" si="1"/>
        <v>1</v>
      </c>
      <c r="G31">
        <v>0.8</v>
      </c>
      <c r="H31">
        <f t="shared" si="2"/>
        <v>0.65</v>
      </c>
      <c r="I31">
        <v>7</v>
      </c>
      <c r="J31"/>
      <c r="K31" s="29">
        <f t="shared" si="3"/>
        <v>0.14285714285714285</v>
      </c>
      <c r="L31"/>
      <c r="M31">
        <f>H31*'Elo model'!$E$14</f>
        <v>0.32500000000000001</v>
      </c>
      <c r="N31" s="30">
        <f>'Elo model'!$F$14*K31</f>
        <v>3.5714285714285712E-2</v>
      </c>
      <c r="O31">
        <f t="shared" si="4"/>
        <v>0.1</v>
      </c>
      <c r="P31">
        <f>D31*'Elo model'!$G$14</f>
        <v>0.13714285714285715</v>
      </c>
      <c r="Q31">
        <f t="shared" si="5"/>
        <v>0.59785714285714286</v>
      </c>
      <c r="R31"/>
      <c r="S31"/>
      <c r="T31"/>
      <c r="U31"/>
      <c r="V31"/>
      <c r="W31"/>
      <c r="X31"/>
      <c r="Y31"/>
      <c r="Z31"/>
    </row>
    <row r="32" spans="2:26" ht="15" customHeight="1" x14ac:dyDescent="0.3">
      <c r="B32"/>
      <c r="C32">
        <v>1.5</v>
      </c>
      <c r="D32">
        <f t="shared" si="0"/>
        <v>0.8571428571428571</v>
      </c>
      <c r="E32">
        <v>3.75</v>
      </c>
      <c r="F32">
        <f t="shared" si="1"/>
        <v>0.9375</v>
      </c>
      <c r="G32">
        <v>0.75</v>
      </c>
      <c r="H32">
        <f t="shared" si="2"/>
        <v>0.6</v>
      </c>
      <c r="I32">
        <v>8</v>
      </c>
      <c r="J32"/>
      <c r="K32" s="29">
        <f t="shared" si="3"/>
        <v>0.125</v>
      </c>
      <c r="L32"/>
      <c r="M32">
        <f>H32*'Elo model'!$E$14</f>
        <v>0.3</v>
      </c>
      <c r="N32" s="30">
        <f>'Elo model'!$F$14*K32</f>
        <v>3.125E-2</v>
      </c>
      <c r="O32">
        <f t="shared" si="4"/>
        <v>9.375E-2</v>
      </c>
      <c r="P32">
        <f>D32*'Elo model'!$G$14</f>
        <v>0.12857142857142856</v>
      </c>
      <c r="Q32">
        <f t="shared" si="5"/>
        <v>0.5535714285714286</v>
      </c>
      <c r="R32"/>
      <c r="S32"/>
      <c r="T32"/>
      <c r="U32"/>
      <c r="V32"/>
      <c r="W32"/>
      <c r="X32"/>
      <c r="Y32"/>
      <c r="Z32"/>
    </row>
    <row r="33" spans="2:26" ht="15" customHeight="1" x14ac:dyDescent="0.3">
      <c r="B33"/>
      <c r="C33">
        <v>1.4</v>
      </c>
      <c r="D33">
        <f t="shared" si="0"/>
        <v>0.79999999999999993</v>
      </c>
      <c r="E33">
        <v>3.5</v>
      </c>
      <c r="F33">
        <f t="shared" si="1"/>
        <v>0.875</v>
      </c>
      <c r="G33">
        <v>0.7</v>
      </c>
      <c r="H33">
        <f t="shared" si="2"/>
        <v>0.54999999999999993</v>
      </c>
      <c r="I33">
        <v>9</v>
      </c>
      <c r="J33"/>
      <c r="K33" s="29">
        <f t="shared" si="3"/>
        <v>0.1111111111111111</v>
      </c>
      <c r="L33"/>
      <c r="M33">
        <f>H33*'Elo model'!$E$14</f>
        <v>0.27499999999999997</v>
      </c>
      <c r="N33" s="30">
        <f>'Elo model'!$F$14*K33</f>
        <v>2.7777777777777776E-2</v>
      </c>
      <c r="O33">
        <f t="shared" si="4"/>
        <v>8.7500000000000008E-2</v>
      </c>
      <c r="P33">
        <f>D33*'Elo model'!$G$14</f>
        <v>0.11999999999999998</v>
      </c>
      <c r="Q33">
        <f t="shared" si="5"/>
        <v>0.51027777777777772</v>
      </c>
      <c r="R33"/>
      <c r="S33"/>
      <c r="T33"/>
      <c r="U33"/>
      <c r="V33"/>
      <c r="W33"/>
      <c r="X33"/>
      <c r="Y33"/>
      <c r="Z33"/>
    </row>
    <row r="34" spans="2:26" ht="15" customHeight="1" x14ac:dyDescent="0.3">
      <c r="B34"/>
      <c r="C34">
        <v>1.3</v>
      </c>
      <c r="D34">
        <f t="shared" si="0"/>
        <v>0.74285714285714288</v>
      </c>
      <c r="E34">
        <v>3.25</v>
      </c>
      <c r="F34">
        <f t="shared" si="1"/>
        <v>0.8125</v>
      </c>
      <c r="G34">
        <v>0.65</v>
      </c>
      <c r="H34">
        <f t="shared" si="2"/>
        <v>0.5</v>
      </c>
      <c r="I34">
        <v>10</v>
      </c>
      <c r="J34"/>
      <c r="K34" s="29">
        <f t="shared" si="3"/>
        <v>0.1</v>
      </c>
      <c r="L34"/>
      <c r="M34">
        <f>H34*'Elo model'!$E$14</f>
        <v>0.25</v>
      </c>
      <c r="N34" s="30">
        <f>'Elo model'!$F$14*K34</f>
        <v>2.5000000000000001E-2</v>
      </c>
      <c r="O34">
        <f t="shared" si="4"/>
        <v>8.1250000000000003E-2</v>
      </c>
      <c r="P34">
        <f>D34*'Elo model'!$G$14</f>
        <v>0.11142857142857143</v>
      </c>
      <c r="Q34">
        <f t="shared" si="5"/>
        <v>0.46767857142857144</v>
      </c>
      <c r="R34"/>
      <c r="S34"/>
      <c r="T34"/>
      <c r="U34"/>
      <c r="V34"/>
      <c r="W34"/>
      <c r="X34"/>
      <c r="Y34"/>
      <c r="Z34"/>
    </row>
    <row r="35" spans="2:26" ht="15" customHeight="1" x14ac:dyDescent="0.3">
      <c r="B35"/>
      <c r="C35">
        <v>1.2</v>
      </c>
      <c r="D35">
        <f t="shared" si="0"/>
        <v>0.68571428571428572</v>
      </c>
      <c r="E35">
        <v>3</v>
      </c>
      <c r="F35">
        <f t="shared" si="1"/>
        <v>0.75</v>
      </c>
      <c r="G35">
        <v>0.6</v>
      </c>
      <c r="H35">
        <f t="shared" si="2"/>
        <v>0.44999999999999996</v>
      </c>
      <c r="I35">
        <v>11</v>
      </c>
      <c r="J35"/>
      <c r="K35" s="29">
        <f t="shared" si="3"/>
        <v>9.0909090909090912E-2</v>
      </c>
      <c r="L35"/>
      <c r="M35">
        <f>H35*'Elo model'!$E$14</f>
        <v>0.22499999999999998</v>
      </c>
      <c r="N35" s="30">
        <f>'Elo model'!$F$14*K35</f>
        <v>2.2727272727272728E-2</v>
      </c>
      <c r="O35">
        <f t="shared" si="4"/>
        <v>7.5000000000000011E-2</v>
      </c>
      <c r="P35">
        <f>D35*'Elo model'!$G$14</f>
        <v>0.10285714285714286</v>
      </c>
      <c r="Q35">
        <f t="shared" si="5"/>
        <v>0.42558441558441562</v>
      </c>
      <c r="R35"/>
      <c r="S35"/>
      <c r="T35"/>
      <c r="U35"/>
      <c r="V35"/>
      <c r="W35"/>
      <c r="X35"/>
      <c r="Y35"/>
      <c r="Z35"/>
    </row>
    <row r="36" spans="2:26" ht="15" customHeight="1" x14ac:dyDescent="0.3">
      <c r="B36"/>
      <c r="C36">
        <v>1.1000000000000001</v>
      </c>
      <c r="D36">
        <f t="shared" si="0"/>
        <v>0.62857142857142867</v>
      </c>
      <c r="E36">
        <v>2.75</v>
      </c>
      <c r="F36">
        <f t="shared" si="1"/>
        <v>0.6875</v>
      </c>
      <c r="G36">
        <v>0.55000000000000004</v>
      </c>
      <c r="H36">
        <f t="shared" si="2"/>
        <v>0.4</v>
      </c>
      <c r="I36">
        <v>12</v>
      </c>
      <c r="J36"/>
      <c r="K36" s="29">
        <f t="shared" si="3"/>
        <v>8.3333333333333329E-2</v>
      </c>
      <c r="L36"/>
      <c r="M36">
        <f>H36*'Elo model'!$E$14</f>
        <v>0.2</v>
      </c>
      <c r="N36" s="30">
        <f>'Elo model'!$F$14*K36</f>
        <v>2.0833333333333332E-2</v>
      </c>
      <c r="O36">
        <f t="shared" si="4"/>
        <v>6.8750000000000006E-2</v>
      </c>
      <c r="P36">
        <f>D36*'Elo model'!$G$14</f>
        <v>9.4285714285714292E-2</v>
      </c>
      <c r="Q36">
        <f t="shared" si="5"/>
        <v>0.38386904761904767</v>
      </c>
      <c r="R36"/>
      <c r="S36"/>
      <c r="T36"/>
      <c r="U36"/>
      <c r="V36"/>
      <c r="W36"/>
      <c r="X36"/>
      <c r="Y36"/>
      <c r="Z36"/>
    </row>
    <row r="37" spans="2:26" ht="15" customHeight="1" x14ac:dyDescent="0.3">
      <c r="B37"/>
      <c r="C37">
        <v>1</v>
      </c>
      <c r="D37">
        <f t="shared" si="0"/>
        <v>0.5714285714285714</v>
      </c>
      <c r="E37">
        <v>2.5</v>
      </c>
      <c r="F37">
        <f t="shared" si="1"/>
        <v>0.625</v>
      </c>
      <c r="G37">
        <v>0.5</v>
      </c>
      <c r="H37">
        <f t="shared" si="2"/>
        <v>0.35</v>
      </c>
      <c r="I37">
        <v>13</v>
      </c>
      <c r="J37"/>
      <c r="K37" s="29">
        <f t="shared" si="3"/>
        <v>7.6923076923076927E-2</v>
      </c>
      <c r="L37"/>
      <c r="M37">
        <f>H37*'Elo model'!$E$14</f>
        <v>0.17499999999999999</v>
      </c>
      <c r="N37" s="30">
        <f>'Elo model'!$F$14*K37</f>
        <v>1.9230769230769232E-2</v>
      </c>
      <c r="O37">
        <f t="shared" si="4"/>
        <v>6.25E-2</v>
      </c>
      <c r="P37">
        <f>D37*'Elo model'!$G$14</f>
        <v>8.5714285714285701E-2</v>
      </c>
      <c r="Q37">
        <f t="shared" si="5"/>
        <v>0.34244505494505489</v>
      </c>
      <c r="R37"/>
      <c r="S37"/>
      <c r="T37"/>
      <c r="U37"/>
      <c r="V37"/>
      <c r="W37"/>
      <c r="X37"/>
      <c r="Y37"/>
      <c r="Z37"/>
    </row>
    <row r="38" spans="2:26" ht="15" customHeight="1" x14ac:dyDescent="0.3">
      <c r="B38"/>
      <c r="C38">
        <v>0.9</v>
      </c>
      <c r="D38">
        <f t="shared" si="0"/>
        <v>0.51428571428571435</v>
      </c>
      <c r="E38">
        <v>2.25</v>
      </c>
      <c r="F38">
        <f t="shared" si="1"/>
        <v>0.5625</v>
      </c>
      <c r="G38">
        <v>0.45</v>
      </c>
      <c r="H38">
        <f t="shared" si="2"/>
        <v>0.30000000000000004</v>
      </c>
      <c r="I38">
        <v>14</v>
      </c>
      <c r="J38"/>
      <c r="K38" s="29">
        <f t="shared" si="3"/>
        <v>7.1428571428571425E-2</v>
      </c>
      <c r="L38"/>
      <c r="M38">
        <f>H38*'Elo model'!$E$14</f>
        <v>0.15000000000000002</v>
      </c>
      <c r="N38" s="30">
        <f>'Elo model'!$F$14*K38</f>
        <v>1.7857142857142856E-2</v>
      </c>
      <c r="O38">
        <f t="shared" si="4"/>
        <v>5.6250000000000001E-2</v>
      </c>
      <c r="P38">
        <f>D38*'Elo model'!$G$14</f>
        <v>7.7142857142857152E-2</v>
      </c>
      <c r="Q38">
        <f t="shared" si="5"/>
        <v>0.30125000000000002</v>
      </c>
      <c r="R38"/>
      <c r="S38"/>
      <c r="T38"/>
      <c r="U38"/>
      <c r="V38"/>
      <c r="W38"/>
      <c r="X38"/>
      <c r="Y38"/>
      <c r="Z38"/>
    </row>
    <row r="39" spans="2:26" ht="15" customHeight="1" x14ac:dyDescent="0.3">
      <c r="B39"/>
      <c r="C39">
        <v>0.8</v>
      </c>
      <c r="D39">
        <f t="shared" si="0"/>
        <v>0.45714285714285718</v>
      </c>
      <c r="E39">
        <v>2</v>
      </c>
      <c r="F39">
        <f t="shared" si="1"/>
        <v>0.5</v>
      </c>
      <c r="G39">
        <v>0.39999999999999902</v>
      </c>
      <c r="H39">
        <f t="shared" si="2"/>
        <v>0.24999999999999903</v>
      </c>
      <c r="I39">
        <v>15</v>
      </c>
      <c r="J39"/>
      <c r="K39" s="29">
        <f t="shared" si="3"/>
        <v>6.6666666666666666E-2</v>
      </c>
      <c r="L39"/>
      <c r="M39">
        <f>H39*'Elo model'!$E$14</f>
        <v>0.12499999999999951</v>
      </c>
      <c r="N39" s="30">
        <f>'Elo model'!$F$14*K39</f>
        <v>1.6666666666666666E-2</v>
      </c>
      <c r="O39">
        <f t="shared" si="4"/>
        <v>0.05</v>
      </c>
      <c r="P39">
        <f>D39*'Elo model'!$G$14</f>
        <v>6.8571428571428575E-2</v>
      </c>
      <c r="Q39">
        <f t="shared" si="5"/>
        <v>0.26023809523809477</v>
      </c>
      <c r="R39"/>
      <c r="S39"/>
      <c r="T39"/>
      <c r="U39"/>
      <c r="V39"/>
      <c r="W39"/>
      <c r="X39"/>
      <c r="Y39"/>
      <c r="Z39"/>
    </row>
    <row r="40" spans="2:26" ht="15" customHeight="1" x14ac:dyDescent="0.3">
      <c r="B40"/>
      <c r="C40">
        <v>0.7</v>
      </c>
      <c r="D40">
        <f t="shared" si="0"/>
        <v>0.39999999999999997</v>
      </c>
      <c r="E40">
        <v>1.75</v>
      </c>
      <c r="F40">
        <f t="shared" si="1"/>
        <v>0.4375</v>
      </c>
      <c r="G40">
        <v>0.34999999999999898</v>
      </c>
      <c r="H40">
        <f t="shared" si="2"/>
        <v>0.19999999999999898</v>
      </c>
      <c r="I40">
        <v>16</v>
      </c>
      <c r="J40"/>
      <c r="K40" s="29">
        <f t="shared" si="3"/>
        <v>6.25E-2</v>
      </c>
      <c r="L40"/>
      <c r="M40">
        <f>H40*'Elo model'!$E$14</f>
        <v>9.9999999999999492E-2</v>
      </c>
      <c r="N40" s="30">
        <f>'Elo model'!$F$14*K40</f>
        <v>1.5625E-2</v>
      </c>
      <c r="O40">
        <f t="shared" si="4"/>
        <v>4.3750000000000004E-2</v>
      </c>
      <c r="P40">
        <f>D40*'Elo model'!$G$14</f>
        <v>5.9999999999999991E-2</v>
      </c>
      <c r="Q40">
        <f t="shared" si="5"/>
        <v>0.21937499999999949</v>
      </c>
      <c r="R40"/>
      <c r="S40"/>
      <c r="T40"/>
      <c r="U40"/>
      <c r="V40"/>
      <c r="W40"/>
      <c r="X40"/>
      <c r="Y40"/>
      <c r="Z40"/>
    </row>
    <row r="41" spans="2:26" ht="15" customHeight="1" x14ac:dyDescent="0.3">
      <c r="B41"/>
      <c r="C41">
        <v>0.6</v>
      </c>
      <c r="D41">
        <f t="shared" si="0"/>
        <v>0.34285714285714286</v>
      </c>
      <c r="E41">
        <v>1.5</v>
      </c>
      <c r="F41">
        <f t="shared" si="1"/>
        <v>0.375</v>
      </c>
      <c r="G41">
        <v>0.29999999999999899</v>
      </c>
      <c r="H41">
        <f t="shared" si="2"/>
        <v>0.149999999999999</v>
      </c>
      <c r="I41">
        <v>17</v>
      </c>
      <c r="J41"/>
      <c r="K41" s="29">
        <f t="shared" si="3"/>
        <v>5.8823529411764705E-2</v>
      </c>
      <c r="L41"/>
      <c r="M41">
        <f>H41*'Elo model'!$E$14</f>
        <v>7.4999999999999498E-2</v>
      </c>
      <c r="N41" s="30">
        <f>'Elo model'!$F$14*K41</f>
        <v>1.4705882352941176E-2</v>
      </c>
      <c r="O41">
        <f t="shared" si="4"/>
        <v>3.7500000000000006E-2</v>
      </c>
      <c r="P41">
        <f>D41*'Elo model'!$G$14</f>
        <v>5.1428571428571428E-2</v>
      </c>
      <c r="Q41">
        <f t="shared" si="5"/>
        <v>0.1786344537815121</v>
      </c>
      <c r="R41"/>
      <c r="S41"/>
      <c r="T41"/>
      <c r="U41"/>
      <c r="V41"/>
      <c r="W41"/>
      <c r="X41"/>
      <c r="Y41"/>
      <c r="Z41"/>
    </row>
    <row r="42" spans="2:26" ht="15" customHeight="1" x14ac:dyDescent="0.3">
      <c r="B42"/>
      <c r="C42">
        <v>0.5</v>
      </c>
      <c r="D42">
        <f t="shared" si="0"/>
        <v>0.2857142857142857</v>
      </c>
      <c r="E42">
        <v>1.25</v>
      </c>
      <c r="F42">
        <f t="shared" si="1"/>
        <v>0.3125</v>
      </c>
      <c r="G42">
        <v>0.249999999999999</v>
      </c>
      <c r="H42">
        <f t="shared" si="2"/>
        <v>9.9999999999999006E-2</v>
      </c>
      <c r="I42">
        <v>18</v>
      </c>
      <c r="J42"/>
      <c r="K42" s="29">
        <f t="shared" si="3"/>
        <v>5.5555555555555552E-2</v>
      </c>
      <c r="L42"/>
      <c r="M42">
        <f>H42*'Elo model'!$E$14</f>
        <v>4.9999999999999503E-2</v>
      </c>
      <c r="N42" s="30">
        <f>'Elo model'!$F$14*K42</f>
        <v>1.3888888888888888E-2</v>
      </c>
      <c r="O42">
        <f t="shared" si="4"/>
        <v>3.125E-2</v>
      </c>
      <c r="P42">
        <f>D42*'Elo model'!$G$14</f>
        <v>4.2857142857142851E-2</v>
      </c>
      <c r="Q42">
        <f t="shared" si="5"/>
        <v>0.13799603174603123</v>
      </c>
      <c r="R42"/>
      <c r="S42"/>
      <c r="T42"/>
      <c r="U42"/>
      <c r="V42"/>
      <c r="W42"/>
      <c r="X42"/>
      <c r="Y42"/>
      <c r="Z42"/>
    </row>
    <row r="43" spans="2:26" ht="15" customHeight="1" x14ac:dyDescent="0.3">
      <c r="B43"/>
      <c r="C43">
        <v>0.4</v>
      </c>
      <c r="D43">
        <f t="shared" si="0"/>
        <v>0.22857142857142859</v>
      </c>
      <c r="E43">
        <v>1</v>
      </c>
      <c r="F43">
        <f t="shared" si="1"/>
        <v>0.25</v>
      </c>
      <c r="G43">
        <v>0.19999999999999901</v>
      </c>
      <c r="H43">
        <f t="shared" si="2"/>
        <v>4.9999999999999017E-2</v>
      </c>
      <c r="I43">
        <v>19</v>
      </c>
      <c r="J43"/>
      <c r="K43" s="29">
        <f t="shared" si="3"/>
        <v>5.2631578947368418E-2</v>
      </c>
      <c r="L43"/>
      <c r="M43">
        <f>H43*'Elo model'!$E$14</f>
        <v>2.4999999999999509E-2</v>
      </c>
      <c r="N43" s="30">
        <f>'Elo model'!$F$14*K43</f>
        <v>1.3157894736842105E-2</v>
      </c>
      <c r="O43">
        <f t="shared" si="4"/>
        <v>2.5000000000000001E-2</v>
      </c>
      <c r="P43">
        <f>D43*'Elo model'!$G$14</f>
        <v>3.4285714285714287E-2</v>
      </c>
      <c r="Q43">
        <f t="shared" si="5"/>
        <v>9.7443609022555888E-2</v>
      </c>
      <c r="R43"/>
      <c r="S43"/>
      <c r="T43"/>
      <c r="U43"/>
      <c r="V43"/>
      <c r="W43">
        <v>0.04</v>
      </c>
      <c r="X43"/>
      <c r="Y43"/>
      <c r="Z43"/>
    </row>
    <row r="44" spans="2:26" ht="15" customHeight="1" x14ac:dyDescent="0.3">
      <c r="B44"/>
      <c r="C44">
        <v>0.3</v>
      </c>
      <c r="D44">
        <f t="shared" si="0"/>
        <v>0.17142857142857143</v>
      </c>
      <c r="E44">
        <v>0.75</v>
      </c>
      <c r="F44">
        <f t="shared" si="1"/>
        <v>0.1875</v>
      </c>
      <c r="G44">
        <v>0.149999999999999</v>
      </c>
      <c r="H44">
        <v>0</v>
      </c>
      <c r="I44">
        <v>20</v>
      </c>
      <c r="J44"/>
      <c r="K44" s="29">
        <f t="shared" si="3"/>
        <v>0.05</v>
      </c>
      <c r="L44"/>
      <c r="M44">
        <f>H44*'Elo model'!$E$14</f>
        <v>0</v>
      </c>
      <c r="N44" s="30">
        <f>'Elo model'!$F$14*K44</f>
        <v>1.2500000000000001E-2</v>
      </c>
      <c r="O44">
        <f t="shared" si="4"/>
        <v>1.8750000000000003E-2</v>
      </c>
      <c r="P44">
        <f>D44*'Elo model'!$G$14</f>
        <v>2.5714285714285714E-2</v>
      </c>
      <c r="Q44">
        <f t="shared" si="5"/>
        <v>5.6964285714285717E-2</v>
      </c>
      <c r="R44"/>
      <c r="S44"/>
      <c r="T44"/>
      <c r="U44"/>
      <c r="V44"/>
      <c r="W44"/>
      <c r="X44"/>
      <c r="Y44"/>
      <c r="Z44"/>
    </row>
    <row r="45" spans="2:26" ht="15" customHeight="1" x14ac:dyDescent="0.3">
      <c r="B45"/>
      <c r="C45">
        <v>0.2</v>
      </c>
      <c r="D45">
        <f t="shared" si="0"/>
        <v>0.1142857142857143</v>
      </c>
      <c r="E45">
        <v>0.5</v>
      </c>
      <c r="F45">
        <f t="shared" si="1"/>
        <v>0.125</v>
      </c>
      <c r="G45">
        <v>9.9999999999999006E-2</v>
      </c>
      <c r="H45">
        <v>0</v>
      </c>
      <c r="I45">
        <v>21</v>
      </c>
      <c r="J45"/>
      <c r="K45" s="29">
        <f t="shared" si="3"/>
        <v>4.7619047619047616E-2</v>
      </c>
      <c r="L45"/>
      <c r="M45">
        <f>H45*'Elo model'!$E$14</f>
        <v>0</v>
      </c>
      <c r="N45" s="30">
        <f>'Elo model'!$F$14*K45</f>
        <v>1.1904761904761904E-2</v>
      </c>
      <c r="O45">
        <f t="shared" si="4"/>
        <v>1.2500000000000001E-2</v>
      </c>
      <c r="P45">
        <f>D45*'Elo model'!$G$14</f>
        <v>1.7142857142857144E-2</v>
      </c>
      <c r="Q45">
        <f t="shared" si="5"/>
        <v>4.1547619047619049E-2</v>
      </c>
      <c r="R45"/>
      <c r="S45"/>
      <c r="T45"/>
      <c r="U45"/>
      <c r="V45"/>
      <c r="W45"/>
      <c r="X45"/>
      <c r="Y45"/>
      <c r="Z45"/>
    </row>
    <row r="46" spans="2:26" ht="15" customHeight="1" x14ac:dyDescent="0.3">
      <c r="B46"/>
      <c r="C46">
        <v>0.1</v>
      </c>
      <c r="D46">
        <f t="shared" si="0"/>
        <v>5.7142857142857148E-2</v>
      </c>
      <c r="E46">
        <v>0.25</v>
      </c>
      <c r="F46">
        <f t="shared" si="1"/>
        <v>6.25E-2</v>
      </c>
      <c r="G46">
        <v>4.9999999999998997E-2</v>
      </c>
      <c r="H46">
        <v>0</v>
      </c>
      <c r="I46">
        <v>22</v>
      </c>
      <c r="J46"/>
      <c r="K46" s="29">
        <f t="shared" si="3"/>
        <v>4.5454545454545456E-2</v>
      </c>
      <c r="L46"/>
      <c r="M46">
        <f>H46*'Elo model'!$E$14</f>
        <v>0</v>
      </c>
      <c r="N46" s="30">
        <f>'Elo model'!$F$14*K46</f>
        <v>1.1363636363636364E-2</v>
      </c>
      <c r="O46">
        <f t="shared" si="4"/>
        <v>6.2500000000000003E-3</v>
      </c>
      <c r="P46">
        <f>D46*'Elo model'!$G$14</f>
        <v>8.5714285714285719E-3</v>
      </c>
      <c r="Q46">
        <f t="shared" si="5"/>
        <v>2.6185064935064936E-2</v>
      </c>
      <c r="R46"/>
      <c r="S46"/>
      <c r="T46"/>
      <c r="U46"/>
      <c r="V46"/>
      <c r="W46"/>
      <c r="X46"/>
      <c r="Y46"/>
      <c r="Z46"/>
    </row>
    <row r="47" spans="2:26" ht="15" customHeight="1" x14ac:dyDescent="0.3">
      <c r="B47"/>
      <c r="C47">
        <v>0</v>
      </c>
      <c r="D47">
        <f t="shared" si="0"/>
        <v>0</v>
      </c>
      <c r="E47">
        <v>0</v>
      </c>
      <c r="F47">
        <f t="shared" si="1"/>
        <v>0</v>
      </c>
      <c r="G47">
        <v>0</v>
      </c>
      <c r="H47">
        <v>0</v>
      </c>
      <c r="I47">
        <v>23</v>
      </c>
      <c r="J47"/>
      <c r="K47" s="29">
        <f t="shared" si="3"/>
        <v>4.3478260869565216E-2</v>
      </c>
      <c r="L47"/>
      <c r="M47">
        <f>H47*'Elo model'!$E$14</f>
        <v>0</v>
      </c>
      <c r="N47" s="30">
        <f>'Elo model'!$F$14*K47</f>
        <v>1.0869565217391304E-2</v>
      </c>
      <c r="O47">
        <f t="shared" si="4"/>
        <v>0</v>
      </c>
      <c r="P47">
        <f>D47*'Elo model'!$G$14</f>
        <v>0</v>
      </c>
      <c r="Q47">
        <f t="shared" si="5"/>
        <v>1.0869565217391304E-2</v>
      </c>
      <c r="R47"/>
      <c r="S47"/>
      <c r="T47"/>
      <c r="U47"/>
      <c r="V47"/>
      <c r="W47"/>
      <c r="X47"/>
      <c r="Y47"/>
      <c r="Z47"/>
    </row>
    <row r="48" spans="2:26" ht="15" customHeigh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2:26" ht="15" customHeight="1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2:26" ht="15" customHeight="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2:26" ht="15" customHeigh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5" customHeight="1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5" customHeight="1" x14ac:dyDescent="0.3">
      <c r="B53"/>
      <c r="C53"/>
      <c r="D53"/>
      <c r="E53"/>
      <c r="F53"/>
      <c r="G53" t="s">
        <v>501</v>
      </c>
      <c r="H53" t="s">
        <v>531</v>
      </c>
      <c r="I53" t="s">
        <v>532</v>
      </c>
      <c r="J53" t="s">
        <v>516</v>
      </c>
      <c r="K53" t="s">
        <v>529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2:26" ht="15" customHeight="1" x14ac:dyDescent="0.3">
      <c r="B54"/>
      <c r="C54"/>
      <c r="D54"/>
      <c r="E54"/>
      <c r="F54"/>
      <c r="G54">
        <v>1</v>
      </c>
      <c r="H54">
        <v>1</v>
      </c>
      <c r="I54">
        <v>1</v>
      </c>
      <c r="J54">
        <v>0.125</v>
      </c>
      <c r="K54">
        <f>I54*J54</f>
        <v>0.125</v>
      </c>
      <c r="L54"/>
      <c r="M54"/>
      <c r="N54"/>
      <c r="O54"/>
      <c r="P54"/>
      <c r="Q54" s="29">
        <v>0.25</v>
      </c>
      <c r="R54"/>
      <c r="S54"/>
      <c r="T54"/>
      <c r="U54"/>
      <c r="V54"/>
      <c r="W54"/>
      <c r="X54"/>
      <c r="Y54"/>
      <c r="Z54"/>
    </row>
    <row r="55" spans="2:26" ht="15" customHeight="1" x14ac:dyDescent="0.3">
      <c r="B55"/>
      <c r="C55"/>
      <c r="D55"/>
      <c r="E55"/>
      <c r="F55"/>
      <c r="G55">
        <v>2</v>
      </c>
      <c r="H55">
        <v>2</v>
      </c>
      <c r="I55">
        <v>1</v>
      </c>
      <c r="J55">
        <v>0.25</v>
      </c>
      <c r="K55">
        <f t="shared" ref="K55:K57" si="6">I55*J55</f>
        <v>0.25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2:26" ht="15" customHeight="1" x14ac:dyDescent="0.3">
      <c r="B56"/>
      <c r="C56"/>
      <c r="D56"/>
      <c r="E56"/>
      <c r="F56"/>
      <c r="G56">
        <v>3</v>
      </c>
      <c r="H56">
        <v>3</v>
      </c>
      <c r="I56">
        <v>1</v>
      </c>
      <c r="J56">
        <v>0.375</v>
      </c>
      <c r="K56">
        <f t="shared" si="6"/>
        <v>0.375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2:26" ht="15" customHeight="1" x14ac:dyDescent="0.3">
      <c r="B57"/>
      <c r="C57"/>
      <c r="D57"/>
      <c r="E57"/>
      <c r="F57"/>
      <c r="G57">
        <v>4</v>
      </c>
      <c r="H57">
        <v>4</v>
      </c>
      <c r="I57">
        <v>1</v>
      </c>
      <c r="J57">
        <v>0.5</v>
      </c>
      <c r="K57">
        <f t="shared" si="6"/>
        <v>0.5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2:26" ht="15" customHeight="1" x14ac:dyDescent="0.3">
      <c r="B58"/>
      <c r="C58"/>
      <c r="D58"/>
      <c r="E58"/>
      <c r="F58"/>
      <c r="G58"/>
      <c r="H58">
        <v>5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2:26" ht="15" customHeight="1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2:26" ht="15" customHeight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2:26" ht="15" customHeight="1" x14ac:dyDescent="0.3">
      <c r="B61"/>
      <c r="C61"/>
      <c r="D61"/>
      <c r="E61"/>
      <c r="F61"/>
      <c r="G61"/>
      <c r="H61"/>
      <c r="I61"/>
      <c r="J61" t="s">
        <v>533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2:26" ht="15" customHeight="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2:26" ht="15" customHeight="1" x14ac:dyDescent="0.3">
      <c r="B63"/>
      <c r="C63"/>
      <c r="D63"/>
      <c r="E63"/>
      <c r="F63"/>
      <c r="G63"/>
      <c r="H63"/>
      <c r="I63">
        <v>39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2:26" ht="15" customHeight="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2:26" ht="15" customHeight="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GameTracker</vt:lpstr>
      <vt:lpstr>GameStats</vt:lpstr>
      <vt:lpstr>All Players</vt:lpstr>
      <vt:lpstr>PlayerStats</vt:lpstr>
      <vt:lpstr>Elo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Guzman</dc:creator>
  <cp:keywords/>
  <dc:description/>
  <cp:lastModifiedBy>Kevin Murray</cp:lastModifiedBy>
  <cp:revision/>
  <dcterms:created xsi:type="dcterms:W3CDTF">2024-10-04T12:26:35Z</dcterms:created>
  <dcterms:modified xsi:type="dcterms:W3CDTF">2026-10-05T06:06:18Z</dcterms:modified>
  <cp:category/>
  <cp:contentStatus/>
</cp:coreProperties>
</file>